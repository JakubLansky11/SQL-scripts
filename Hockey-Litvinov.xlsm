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025" codeName="{372AB895-14C1-FC20-EB20-F1B4BCFD95AE}"/>
  <workbookPr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02acceb45edb4b70/Dokumenty/Kurz Programování a datová analýza/Moje projekty/SQL - USA states^J hockey/"/>
    </mc:Choice>
  </mc:AlternateContent>
  <xr:revisionPtr revIDLastSave="845" documentId="8_{6055BFD6-22F8-4644-A3DE-D10DD41AC861}" xr6:coauthVersionLast="47" xr6:coauthVersionMax="47" xr10:uidLastSave="{9E4DE7EF-440A-4F28-886B-5340B5BC5D48}"/>
  <bookViews>
    <workbookView xWindow="-120" yWindow="-120" windowWidth="29040" windowHeight="15720" tabRatio="656" xr2:uid="{00000000-000D-0000-FFFF-FFFF00000000}"/>
  </bookViews>
  <sheets>
    <sheet name="Results" sheetId="53" r:id="rId1"/>
  </sheets>
  <definedNames>
    <definedName name="_xlnm._FilterDatabase" localSheetId="0" hidden="1">Results!$A$1:$I$412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" i="53" l="1"/>
  <c r="W3" i="53" s="1"/>
  <c r="W4" i="53" s="1"/>
  <c r="W5" i="53" s="1"/>
  <c r="W6" i="53" s="1"/>
  <c r="W7" i="53" s="1"/>
  <c r="W8" i="53" s="1"/>
  <c r="W9" i="53" s="1"/>
  <c r="W10" i="53" s="1"/>
  <c r="W11" i="53" s="1"/>
  <c r="W12" i="53" s="1"/>
  <c r="W13" i="53" s="1"/>
  <c r="W14" i="53" s="1"/>
  <c r="W15" i="53" s="1"/>
  <c r="W16" i="53" s="1"/>
  <c r="W17" i="53" s="1"/>
  <c r="W18" i="53" s="1"/>
  <c r="W19" i="53" s="1"/>
  <c r="W20" i="53" s="1"/>
  <c r="W21" i="53" s="1"/>
  <c r="W22" i="53" s="1"/>
  <c r="W23" i="53" s="1"/>
  <c r="W24" i="53" s="1"/>
  <c r="W25" i="53" s="1"/>
  <c r="W26" i="53" s="1"/>
  <c r="W27" i="53" s="1"/>
  <c r="W28" i="53" s="1"/>
  <c r="W29" i="53" s="1"/>
  <c r="W30" i="53" s="1"/>
  <c r="W31" i="53" s="1"/>
  <c r="W32" i="53" s="1"/>
  <c r="W33" i="53" s="1"/>
  <c r="W34" i="53" s="1"/>
  <c r="W35" i="53" s="1"/>
  <c r="W36" i="53" s="1"/>
  <c r="W37" i="53" s="1"/>
  <c r="W38" i="53" s="1"/>
  <c r="W39" i="53" s="1"/>
  <c r="W40" i="53" s="1"/>
  <c r="W41" i="53" s="1"/>
  <c r="W42" i="53" s="1"/>
  <c r="W43" i="53" s="1"/>
  <c r="W44" i="53" s="1"/>
  <c r="W45" i="53" s="1"/>
  <c r="W46" i="53" s="1"/>
  <c r="W47" i="53" s="1"/>
  <c r="W48" i="53" s="1"/>
  <c r="W49" i="53" s="1"/>
  <c r="W50" i="53" s="1"/>
  <c r="W51" i="53" s="1"/>
  <c r="W52" i="53" s="1"/>
  <c r="W53" i="53" s="1"/>
  <c r="W54" i="53" s="1"/>
  <c r="W55" i="53" s="1"/>
  <c r="W56" i="53" s="1"/>
  <c r="W57" i="53" s="1"/>
  <c r="W58" i="53" s="1"/>
  <c r="W59" i="53" s="1"/>
  <c r="W60" i="53" s="1"/>
  <c r="W61" i="53" s="1"/>
  <c r="W62" i="53" s="1"/>
  <c r="W63" i="53" s="1"/>
  <c r="W64" i="53" s="1"/>
  <c r="W65" i="53" s="1"/>
  <c r="W66" i="53" s="1"/>
  <c r="W67" i="53" s="1"/>
  <c r="W68" i="53" s="1"/>
  <c r="W69" i="53" s="1"/>
  <c r="W70" i="53" s="1"/>
  <c r="W71" i="53" s="1"/>
  <c r="W72" i="53" s="1"/>
  <c r="W73" i="53" s="1"/>
  <c r="W74" i="53" s="1"/>
  <c r="W75" i="53" s="1"/>
  <c r="W76" i="53" s="1"/>
  <c r="W77" i="53" s="1"/>
  <c r="W78" i="53" s="1"/>
  <c r="W79" i="53" s="1"/>
  <c r="W80" i="53" s="1"/>
  <c r="W81" i="53" s="1"/>
  <c r="W82" i="53" s="1"/>
  <c r="W83" i="53" s="1"/>
  <c r="W84" i="53" s="1"/>
  <c r="W85" i="53" s="1"/>
  <c r="W86" i="53" s="1"/>
  <c r="W87" i="53" s="1"/>
  <c r="W88" i="53" s="1"/>
  <c r="W89" i="53" s="1"/>
  <c r="W90" i="53" s="1"/>
  <c r="W91" i="53" s="1"/>
  <c r="W92" i="53" s="1"/>
  <c r="W93" i="53" s="1"/>
  <c r="W94" i="53" s="1"/>
  <c r="W95" i="53" s="1"/>
  <c r="W96" i="53" s="1"/>
  <c r="W97" i="53" s="1"/>
  <c r="W98" i="53" s="1"/>
  <c r="W99" i="53" s="1"/>
  <c r="W100" i="53" s="1"/>
  <c r="W101" i="53" s="1"/>
  <c r="W102" i="53" s="1"/>
  <c r="W103" i="53" s="1"/>
  <c r="W104" i="53" s="1"/>
  <c r="W105" i="53" s="1"/>
  <c r="W106" i="53" s="1"/>
  <c r="W107" i="53" s="1"/>
  <c r="W108" i="53" s="1"/>
  <c r="W109" i="53" s="1"/>
  <c r="W110" i="53" s="1"/>
  <c r="W111" i="53" s="1"/>
  <c r="W112" i="53" s="1"/>
  <c r="W113" i="53" s="1"/>
  <c r="W114" i="53" s="1"/>
  <c r="W115" i="53" s="1"/>
  <c r="W116" i="53" s="1"/>
  <c r="W117" i="53" s="1"/>
  <c r="W118" i="53" s="1"/>
  <c r="W119" i="53" s="1"/>
  <c r="W120" i="53" s="1"/>
  <c r="W121" i="53" s="1"/>
  <c r="W122" i="53" s="1"/>
  <c r="W123" i="53" s="1"/>
  <c r="W124" i="53" s="1"/>
  <c r="W125" i="53" s="1"/>
  <c r="W126" i="53" s="1"/>
  <c r="W127" i="53" s="1"/>
  <c r="W128" i="53" s="1"/>
  <c r="W129" i="53" s="1"/>
  <c r="W130" i="53" s="1"/>
  <c r="W131" i="53" s="1"/>
  <c r="W132" i="53" s="1"/>
  <c r="W133" i="53" s="1"/>
  <c r="W134" i="53" s="1"/>
  <c r="W135" i="53" s="1"/>
  <c r="W136" i="53" s="1"/>
  <c r="W137" i="53" s="1"/>
  <c r="W138" i="53" s="1"/>
  <c r="W139" i="53" s="1"/>
  <c r="W140" i="53" s="1"/>
  <c r="W141" i="53" s="1"/>
  <c r="W142" i="53" s="1"/>
  <c r="W143" i="53" s="1"/>
  <c r="W144" i="53" s="1"/>
  <c r="W145" i="53" s="1"/>
  <c r="W146" i="53" s="1"/>
  <c r="W147" i="53" s="1"/>
  <c r="W148" i="53" s="1"/>
  <c r="W149" i="53" s="1"/>
  <c r="W150" i="53" s="1"/>
  <c r="W151" i="53" s="1"/>
  <c r="W152" i="53" s="1"/>
  <c r="W153" i="53" s="1"/>
  <c r="W154" i="53" s="1"/>
  <c r="W155" i="53" s="1"/>
  <c r="W156" i="53" s="1"/>
  <c r="W157" i="53" s="1"/>
  <c r="W158" i="53" s="1"/>
  <c r="W159" i="53" s="1"/>
  <c r="W160" i="53" s="1"/>
  <c r="W161" i="53" s="1"/>
  <c r="W162" i="53" s="1"/>
  <c r="W163" i="53" s="1"/>
  <c r="W164" i="53" s="1"/>
  <c r="W165" i="53" s="1"/>
  <c r="W166" i="53" s="1"/>
  <c r="W167" i="53" s="1"/>
  <c r="W168" i="53" s="1"/>
  <c r="W169" i="53" s="1"/>
  <c r="W170" i="53" s="1"/>
  <c r="W171" i="53" s="1"/>
  <c r="W172" i="53" s="1"/>
  <c r="W173" i="53" s="1"/>
  <c r="W174" i="53" s="1"/>
  <c r="W175" i="53" s="1"/>
  <c r="W176" i="53" s="1"/>
  <c r="W177" i="53" s="1"/>
  <c r="W178" i="53" s="1"/>
  <c r="W179" i="53" s="1"/>
  <c r="W180" i="53" s="1"/>
  <c r="W181" i="53" s="1"/>
  <c r="W182" i="53" s="1"/>
  <c r="W183" i="53" s="1"/>
  <c r="W184" i="53" s="1"/>
  <c r="W185" i="53" s="1"/>
  <c r="W186" i="53" s="1"/>
  <c r="W187" i="53" s="1"/>
  <c r="W188" i="53" s="1"/>
  <c r="W189" i="53" s="1"/>
  <c r="W190" i="53" s="1"/>
  <c r="W191" i="53" s="1"/>
  <c r="W192" i="53" s="1"/>
  <c r="W193" i="53" s="1"/>
  <c r="W194" i="53" s="1"/>
  <c r="W195" i="53" s="1"/>
  <c r="W196" i="53" s="1"/>
  <c r="W197" i="53" s="1"/>
  <c r="W198" i="53" s="1"/>
  <c r="W199" i="53" s="1"/>
  <c r="W200" i="53" s="1"/>
  <c r="W201" i="53" s="1"/>
  <c r="W202" i="53" s="1"/>
  <c r="W203" i="53" s="1"/>
  <c r="W204" i="53" s="1"/>
  <c r="W205" i="53" s="1"/>
  <c r="W206" i="53" s="1"/>
  <c r="W207" i="53" s="1"/>
  <c r="W208" i="53" s="1"/>
  <c r="W209" i="53" s="1"/>
  <c r="W210" i="53" s="1"/>
  <c r="W211" i="53" s="1"/>
  <c r="W212" i="53" s="1"/>
  <c r="W213" i="53" s="1"/>
  <c r="W214" i="53" s="1"/>
  <c r="W215" i="53" s="1"/>
  <c r="W216" i="53" s="1"/>
  <c r="W217" i="53" s="1"/>
  <c r="W218" i="53" s="1"/>
  <c r="W219" i="53" s="1"/>
  <c r="W220" i="53" s="1"/>
  <c r="W221" i="53" s="1"/>
  <c r="W222" i="53" s="1"/>
  <c r="W223" i="53" s="1"/>
  <c r="W224" i="53" s="1"/>
  <c r="W225" i="53" s="1"/>
  <c r="W226" i="53" s="1"/>
  <c r="W227" i="53" s="1"/>
  <c r="W228" i="53" s="1"/>
  <c r="W229" i="53" s="1"/>
  <c r="W230" i="53" s="1"/>
  <c r="W231" i="53" s="1"/>
  <c r="W232" i="53" s="1"/>
  <c r="W233" i="53" s="1"/>
  <c r="W234" i="53" s="1"/>
  <c r="W235" i="53" s="1"/>
  <c r="W236" i="53" s="1"/>
  <c r="W237" i="53" s="1"/>
  <c r="W238" i="53" s="1"/>
  <c r="W239" i="53" s="1"/>
  <c r="W240" i="53" s="1"/>
  <c r="W241" i="53" s="1"/>
  <c r="W242" i="53" s="1"/>
  <c r="W243" i="53" s="1"/>
  <c r="W244" i="53" s="1"/>
  <c r="W245" i="53" s="1"/>
  <c r="W246" i="53" s="1"/>
  <c r="W247" i="53" s="1"/>
  <c r="W248" i="53" s="1"/>
  <c r="W249" i="53" s="1"/>
  <c r="W250" i="53" s="1"/>
  <c r="W251" i="53" s="1"/>
  <c r="W252" i="53" s="1"/>
  <c r="W253" i="53" s="1"/>
  <c r="W254" i="53" s="1"/>
  <c r="W255" i="53" s="1"/>
  <c r="W256" i="53" s="1"/>
  <c r="W257" i="53" s="1"/>
  <c r="W258" i="53" s="1"/>
  <c r="W259" i="53" s="1"/>
  <c r="W260" i="53" s="1"/>
  <c r="W261" i="53" s="1"/>
  <c r="W262" i="53" s="1"/>
  <c r="W263" i="53" s="1"/>
  <c r="W264" i="53" s="1"/>
  <c r="W265" i="53" s="1"/>
  <c r="W266" i="53" s="1"/>
  <c r="W267" i="53" s="1"/>
  <c r="W268" i="53" s="1"/>
  <c r="W269" i="53" s="1"/>
  <c r="W270" i="53" s="1"/>
  <c r="W271" i="53" s="1"/>
  <c r="W272" i="53" s="1"/>
  <c r="W273" i="53" s="1"/>
  <c r="W274" i="53" s="1"/>
  <c r="W275" i="53" s="1"/>
  <c r="W276" i="53" s="1"/>
  <c r="W277" i="53" s="1"/>
  <c r="W278" i="53" s="1"/>
  <c r="W279" i="53" s="1"/>
  <c r="W280" i="53" s="1"/>
  <c r="W281" i="53" s="1"/>
  <c r="W282" i="53" s="1"/>
  <c r="W283" i="53" s="1"/>
  <c r="W284" i="53" s="1"/>
  <c r="W285" i="53" s="1"/>
  <c r="W286" i="53" s="1"/>
  <c r="W287" i="53" s="1"/>
  <c r="W288" i="53" s="1"/>
  <c r="W289" i="53" s="1"/>
  <c r="W290" i="53" s="1"/>
  <c r="W291" i="53" s="1"/>
  <c r="W292" i="53" s="1"/>
  <c r="W293" i="53" s="1"/>
  <c r="W294" i="53" s="1"/>
  <c r="W295" i="53" s="1"/>
  <c r="W296" i="53" s="1"/>
  <c r="W297" i="53" s="1"/>
  <c r="W298" i="53" s="1"/>
  <c r="W299" i="53" s="1"/>
  <c r="W300" i="53" s="1"/>
  <c r="W301" i="53" s="1"/>
  <c r="W302" i="53" s="1"/>
  <c r="W303" i="53" s="1"/>
  <c r="W304" i="53" s="1"/>
  <c r="W305" i="53" s="1"/>
  <c r="W306" i="53" s="1"/>
  <c r="W307" i="53" s="1"/>
  <c r="W308" i="53" s="1"/>
  <c r="W309" i="53" s="1"/>
  <c r="W310" i="53" s="1"/>
  <c r="W311" i="53" s="1"/>
  <c r="W312" i="53" s="1"/>
  <c r="W313" i="53" s="1"/>
  <c r="W314" i="53" s="1"/>
  <c r="W315" i="53" s="1"/>
  <c r="W316" i="53" s="1"/>
  <c r="W317" i="53" s="1"/>
  <c r="W318" i="53" s="1"/>
  <c r="W319" i="53" s="1"/>
  <c r="W320" i="53" s="1"/>
  <c r="W321" i="53" s="1"/>
  <c r="W322" i="53" s="1"/>
  <c r="W323" i="53" s="1"/>
  <c r="W324" i="53" s="1"/>
  <c r="W325" i="53" s="1"/>
  <c r="W326" i="53" s="1"/>
  <c r="W327" i="53" s="1"/>
  <c r="W328" i="53" s="1"/>
  <c r="W329" i="53" s="1"/>
  <c r="W330" i="53" s="1"/>
  <c r="W331" i="53" s="1"/>
  <c r="W332" i="53" s="1"/>
  <c r="W333" i="53" s="1"/>
  <c r="W334" i="53" s="1"/>
  <c r="W335" i="53" s="1"/>
  <c r="W336" i="53" s="1"/>
  <c r="W337" i="53" s="1"/>
  <c r="W338" i="53" s="1"/>
  <c r="W339" i="53" s="1"/>
  <c r="W340" i="53" s="1"/>
  <c r="W341" i="53" s="1"/>
  <c r="W342" i="53" s="1"/>
  <c r="W343" i="53" s="1"/>
  <c r="W344" i="53" s="1"/>
  <c r="W345" i="53" s="1"/>
  <c r="W346" i="53" s="1"/>
  <c r="W347" i="53" s="1"/>
  <c r="W348" i="53" s="1"/>
  <c r="W349" i="53" s="1"/>
  <c r="W350" i="53" s="1"/>
  <c r="W351" i="53" s="1"/>
  <c r="W352" i="53" s="1"/>
  <c r="W353" i="53" s="1"/>
  <c r="W354" i="53" s="1"/>
  <c r="W355" i="53" s="1"/>
  <c r="W356" i="53" s="1"/>
  <c r="W357" i="53" s="1"/>
  <c r="W358" i="53" s="1"/>
  <c r="W359" i="53" s="1"/>
  <c r="W360" i="53" s="1"/>
  <c r="W361" i="53" s="1"/>
  <c r="W362" i="53" s="1"/>
  <c r="W363" i="53" s="1"/>
  <c r="W364" i="53" s="1"/>
  <c r="W365" i="53" s="1"/>
  <c r="W366" i="53" s="1"/>
  <c r="W367" i="53" s="1"/>
  <c r="W368" i="53" s="1"/>
  <c r="W369" i="53" s="1"/>
  <c r="W370" i="53" s="1"/>
  <c r="W371" i="53" s="1"/>
  <c r="W372" i="53" s="1"/>
  <c r="W373" i="53" s="1"/>
  <c r="W374" i="53" s="1"/>
  <c r="W375" i="53" s="1"/>
  <c r="W376" i="53" s="1"/>
  <c r="W377" i="53" s="1"/>
  <c r="W378" i="53" s="1"/>
  <c r="W379" i="53" s="1"/>
  <c r="W380" i="53" s="1"/>
  <c r="W381" i="53" s="1"/>
  <c r="W382" i="53" s="1"/>
  <c r="W383" i="53" s="1"/>
  <c r="W384" i="53" s="1"/>
  <c r="W385" i="53" s="1"/>
  <c r="W386" i="53" s="1"/>
  <c r="W387" i="53" s="1"/>
  <c r="W388" i="53" s="1"/>
  <c r="W389" i="53" s="1"/>
  <c r="W390" i="53" s="1"/>
  <c r="W391" i="53" s="1"/>
  <c r="W392" i="53" s="1"/>
  <c r="W393" i="53" s="1"/>
  <c r="W394" i="53" s="1"/>
  <c r="W395" i="53" s="1"/>
  <c r="W396" i="53" s="1"/>
  <c r="W397" i="53" s="1"/>
  <c r="W398" i="53" s="1"/>
  <c r="W399" i="53" s="1"/>
  <c r="W400" i="53" s="1"/>
  <c r="W401" i="53" s="1"/>
  <c r="W402" i="53" s="1"/>
  <c r="W403" i="53" s="1"/>
  <c r="W404" i="53" s="1"/>
  <c r="W405" i="53" s="1"/>
  <c r="W406" i="53" s="1"/>
  <c r="W407" i="53" s="1"/>
  <c r="W408" i="53" s="1"/>
  <c r="W409" i="53" s="1"/>
  <c r="W410" i="53" s="1"/>
  <c r="W411" i="53" s="1"/>
  <c r="W412" i="53" s="1"/>
  <c r="W413" i="53" s="1"/>
  <c r="M3" i="53"/>
  <c r="M4" i="53"/>
  <c r="M5" i="53"/>
  <c r="M6" i="53"/>
  <c r="M7" i="53"/>
  <c r="M8" i="53"/>
  <c r="M9" i="53"/>
  <c r="M10" i="53"/>
  <c r="M11" i="53"/>
  <c r="M12" i="53"/>
  <c r="M13" i="53"/>
  <c r="M14" i="53"/>
  <c r="M15" i="53"/>
  <c r="M16" i="53"/>
  <c r="M17" i="53"/>
  <c r="M18" i="53"/>
  <c r="M19" i="53"/>
  <c r="M20" i="53"/>
  <c r="M21" i="53"/>
  <c r="M22" i="53"/>
  <c r="M23" i="53"/>
  <c r="M24" i="53"/>
  <c r="M25" i="53"/>
  <c r="M26" i="53"/>
  <c r="M27" i="53"/>
  <c r="M28" i="53"/>
  <c r="M29" i="53"/>
  <c r="M30" i="53"/>
  <c r="M31" i="53"/>
  <c r="M32" i="53"/>
  <c r="M33" i="53"/>
  <c r="M34" i="53"/>
  <c r="M35" i="53"/>
  <c r="M36" i="53"/>
  <c r="M37" i="53"/>
  <c r="M38" i="53"/>
  <c r="M39" i="53"/>
  <c r="M40" i="53"/>
  <c r="M41" i="53"/>
  <c r="M42" i="53"/>
  <c r="M43" i="53"/>
  <c r="M44" i="53"/>
  <c r="M45" i="53"/>
  <c r="M46" i="53"/>
  <c r="M47" i="53"/>
  <c r="M48" i="53"/>
  <c r="M49" i="53"/>
  <c r="M50" i="53"/>
  <c r="M51" i="53"/>
  <c r="M52" i="53"/>
  <c r="M53" i="53"/>
  <c r="M54" i="53"/>
  <c r="M55" i="53"/>
  <c r="M56" i="53"/>
  <c r="M57" i="53"/>
  <c r="M58" i="53"/>
  <c r="M59" i="53"/>
  <c r="M60" i="53"/>
  <c r="M61" i="53"/>
  <c r="M62" i="53"/>
  <c r="M63" i="53"/>
  <c r="M64" i="53"/>
  <c r="M65" i="53"/>
  <c r="M66" i="53"/>
  <c r="M67" i="53"/>
  <c r="M68" i="53"/>
  <c r="M69" i="53"/>
  <c r="M70" i="53"/>
  <c r="M71" i="53"/>
  <c r="M72" i="53"/>
  <c r="M73" i="53"/>
  <c r="M74" i="53"/>
  <c r="M75" i="53"/>
  <c r="M76" i="53"/>
  <c r="M77" i="53"/>
  <c r="M78" i="53"/>
  <c r="M79" i="53"/>
  <c r="M80" i="53"/>
  <c r="M81" i="53"/>
  <c r="M82" i="53"/>
  <c r="M83" i="53"/>
  <c r="M84" i="53"/>
  <c r="M85" i="53"/>
  <c r="M86" i="53"/>
  <c r="M87" i="53"/>
  <c r="M88" i="53"/>
  <c r="M89" i="53"/>
  <c r="M90" i="53"/>
  <c r="M91" i="53"/>
  <c r="M92" i="53"/>
  <c r="M93" i="53"/>
  <c r="M94" i="53"/>
  <c r="M95" i="53"/>
  <c r="M96" i="53"/>
  <c r="M97" i="53"/>
  <c r="M98" i="53"/>
  <c r="M99" i="53"/>
  <c r="M100" i="53"/>
  <c r="M101" i="53"/>
  <c r="M102" i="53"/>
  <c r="M103" i="53"/>
  <c r="M104" i="53"/>
  <c r="M105" i="53"/>
  <c r="M106" i="53"/>
  <c r="M107" i="53"/>
  <c r="M108" i="53"/>
  <c r="M109" i="53"/>
  <c r="M110" i="53"/>
  <c r="M111" i="53"/>
  <c r="M112" i="53"/>
  <c r="M113" i="53"/>
  <c r="M114" i="53"/>
  <c r="M115" i="53"/>
  <c r="M116" i="53"/>
  <c r="M117" i="53"/>
  <c r="M118" i="53"/>
  <c r="M119" i="53"/>
  <c r="M120" i="53"/>
  <c r="M121" i="53"/>
  <c r="M122" i="53"/>
  <c r="M123" i="53"/>
  <c r="M124" i="53"/>
  <c r="M125" i="53"/>
  <c r="M126" i="53"/>
  <c r="M127" i="53"/>
  <c r="M128" i="53"/>
  <c r="M129" i="53"/>
  <c r="M130" i="53"/>
  <c r="M131" i="53"/>
  <c r="M132" i="53"/>
  <c r="M133" i="53"/>
  <c r="M134" i="53"/>
  <c r="M135" i="53"/>
  <c r="M136" i="53"/>
  <c r="M137" i="53"/>
  <c r="M138" i="53"/>
  <c r="M139" i="53"/>
  <c r="M140" i="53"/>
  <c r="M141" i="53"/>
  <c r="M142" i="53"/>
  <c r="M143" i="53"/>
  <c r="M144" i="53"/>
  <c r="M145" i="53"/>
  <c r="M146" i="53"/>
  <c r="M147" i="53"/>
  <c r="M148" i="53"/>
  <c r="M149" i="53"/>
  <c r="M150" i="53"/>
  <c r="M151" i="53"/>
  <c r="M152" i="53"/>
  <c r="M153" i="53"/>
  <c r="M154" i="53"/>
  <c r="M155" i="53"/>
  <c r="M156" i="53"/>
  <c r="M157" i="53"/>
  <c r="M158" i="53"/>
  <c r="M159" i="53"/>
  <c r="M160" i="53"/>
  <c r="M161" i="53"/>
  <c r="M162" i="53"/>
  <c r="M163" i="53"/>
  <c r="M164" i="53"/>
  <c r="M165" i="53"/>
  <c r="M166" i="53"/>
  <c r="M167" i="53"/>
  <c r="M168" i="53"/>
  <c r="M169" i="53"/>
  <c r="M170" i="53"/>
  <c r="M171" i="53"/>
  <c r="M172" i="53"/>
  <c r="M173" i="53"/>
  <c r="M174" i="53"/>
  <c r="M175" i="53"/>
  <c r="M176" i="53"/>
  <c r="M177" i="53"/>
  <c r="M178" i="53"/>
  <c r="M179" i="53"/>
  <c r="M180" i="53"/>
  <c r="M181" i="53"/>
  <c r="M182" i="53"/>
  <c r="M183" i="53"/>
  <c r="M184" i="53"/>
  <c r="M185" i="53"/>
  <c r="M186" i="53"/>
  <c r="M187" i="53"/>
  <c r="M188" i="53"/>
  <c r="M189" i="53"/>
  <c r="M190" i="53"/>
  <c r="M191" i="53"/>
  <c r="M192" i="53"/>
  <c r="M193" i="53"/>
  <c r="M194" i="53"/>
  <c r="M195" i="53"/>
  <c r="M196" i="53"/>
  <c r="M197" i="53"/>
  <c r="M198" i="53"/>
  <c r="M199" i="53"/>
  <c r="M200" i="53"/>
  <c r="M201" i="53"/>
  <c r="M202" i="53"/>
  <c r="M203" i="53"/>
  <c r="M204" i="53"/>
  <c r="M205" i="53"/>
  <c r="M206" i="53"/>
  <c r="M207" i="53"/>
  <c r="M208" i="53"/>
  <c r="M209" i="53"/>
  <c r="M210" i="53"/>
  <c r="M211" i="53"/>
  <c r="M212" i="53"/>
  <c r="M213" i="53"/>
  <c r="M214" i="53"/>
  <c r="M215" i="53"/>
  <c r="M216" i="53"/>
  <c r="M217" i="53"/>
  <c r="M218" i="53"/>
  <c r="M219" i="53"/>
  <c r="M220" i="53"/>
  <c r="M221" i="53"/>
  <c r="M222" i="53"/>
  <c r="M223" i="53"/>
  <c r="M224" i="53"/>
  <c r="M225" i="53"/>
  <c r="M226" i="53"/>
  <c r="M227" i="53"/>
  <c r="M228" i="53"/>
  <c r="M229" i="53"/>
  <c r="M230" i="53"/>
  <c r="M231" i="53"/>
  <c r="M232" i="53"/>
  <c r="M233" i="53"/>
  <c r="M234" i="53"/>
  <c r="M235" i="53"/>
  <c r="M236" i="53"/>
  <c r="M237" i="53"/>
  <c r="M238" i="53"/>
  <c r="M239" i="53"/>
  <c r="M240" i="53"/>
  <c r="M241" i="53"/>
  <c r="M242" i="53"/>
  <c r="M243" i="53"/>
  <c r="M244" i="53"/>
  <c r="M245" i="53"/>
  <c r="M246" i="53"/>
  <c r="M247" i="53"/>
  <c r="M248" i="53"/>
  <c r="M249" i="53"/>
  <c r="M250" i="53"/>
  <c r="M251" i="53"/>
  <c r="M252" i="53"/>
  <c r="M253" i="53"/>
  <c r="M254" i="53"/>
  <c r="M255" i="53"/>
  <c r="M256" i="53"/>
  <c r="M257" i="53"/>
  <c r="M258" i="53"/>
  <c r="M259" i="53"/>
  <c r="M260" i="53"/>
  <c r="M261" i="53"/>
  <c r="M262" i="53"/>
  <c r="M263" i="53"/>
  <c r="M264" i="53"/>
  <c r="M265" i="53"/>
  <c r="M266" i="53"/>
  <c r="M267" i="53"/>
  <c r="M268" i="53"/>
  <c r="M269" i="53"/>
  <c r="M270" i="53"/>
  <c r="M271" i="53"/>
  <c r="M272" i="53"/>
  <c r="M273" i="53"/>
  <c r="M274" i="53"/>
  <c r="M275" i="53"/>
  <c r="M276" i="53"/>
  <c r="M277" i="53"/>
  <c r="M278" i="53"/>
  <c r="M279" i="53"/>
  <c r="M280" i="53"/>
  <c r="M281" i="53"/>
  <c r="M282" i="53"/>
  <c r="M283" i="53"/>
  <c r="M284" i="53"/>
  <c r="M285" i="53"/>
  <c r="M286" i="53"/>
  <c r="M287" i="53"/>
  <c r="M288" i="53"/>
  <c r="M289" i="53"/>
  <c r="M290" i="53"/>
  <c r="M291" i="53"/>
  <c r="M292" i="53"/>
  <c r="M293" i="53"/>
  <c r="M294" i="53"/>
  <c r="M295" i="53"/>
  <c r="M296" i="53"/>
  <c r="M297" i="53"/>
  <c r="M298" i="53"/>
  <c r="M299" i="53"/>
  <c r="M300" i="53"/>
  <c r="M301" i="53"/>
  <c r="M302" i="53"/>
  <c r="M303" i="53"/>
  <c r="M304" i="53"/>
  <c r="M305" i="53"/>
  <c r="M306" i="53"/>
  <c r="M307" i="53"/>
  <c r="M308" i="53"/>
  <c r="M309" i="53"/>
  <c r="M310" i="53"/>
  <c r="M311" i="53"/>
  <c r="M312" i="53"/>
  <c r="M313" i="53"/>
  <c r="M314" i="53"/>
  <c r="M315" i="53"/>
  <c r="M316" i="53"/>
  <c r="M317" i="53"/>
  <c r="M318" i="53"/>
  <c r="M319" i="53"/>
  <c r="M320" i="53"/>
  <c r="M321" i="53"/>
  <c r="M322" i="53"/>
  <c r="M323" i="53"/>
  <c r="M324" i="53"/>
  <c r="M325" i="53"/>
  <c r="M326" i="53"/>
  <c r="M327" i="53"/>
  <c r="M328" i="53"/>
  <c r="M329" i="53"/>
  <c r="M330" i="53"/>
  <c r="M331" i="53"/>
  <c r="M332" i="53"/>
  <c r="M333" i="53"/>
  <c r="M334" i="53"/>
  <c r="M335" i="53"/>
  <c r="M336" i="53"/>
  <c r="M337" i="53"/>
  <c r="M338" i="53"/>
  <c r="M339" i="53"/>
  <c r="M340" i="53"/>
  <c r="M341" i="53"/>
  <c r="M342" i="53"/>
  <c r="M343" i="53"/>
  <c r="M344" i="53"/>
  <c r="M345" i="53"/>
  <c r="M346" i="53"/>
  <c r="M347" i="53"/>
  <c r="M348" i="53"/>
  <c r="M349" i="53"/>
  <c r="M350" i="53"/>
  <c r="M351" i="53"/>
  <c r="M352" i="53"/>
  <c r="M353" i="53"/>
  <c r="M354" i="53"/>
  <c r="M355" i="53"/>
  <c r="M356" i="53"/>
  <c r="M357" i="53"/>
  <c r="M358" i="53"/>
  <c r="M359" i="53"/>
  <c r="M360" i="53"/>
  <c r="M361" i="53"/>
  <c r="M362" i="53"/>
  <c r="M363" i="53"/>
  <c r="M364" i="53"/>
  <c r="M365" i="53"/>
  <c r="M366" i="53"/>
  <c r="M367" i="53"/>
  <c r="M368" i="53"/>
  <c r="M369" i="53"/>
  <c r="M370" i="53"/>
  <c r="M371" i="53"/>
  <c r="M372" i="53"/>
  <c r="M373" i="53"/>
  <c r="M374" i="53"/>
  <c r="M375" i="53"/>
  <c r="M376" i="53"/>
  <c r="M377" i="53"/>
  <c r="M378" i="53"/>
  <c r="M379" i="53"/>
  <c r="M380" i="53"/>
  <c r="M381" i="53"/>
  <c r="M382" i="53"/>
  <c r="M383" i="53"/>
  <c r="M384" i="53"/>
  <c r="M385" i="53"/>
  <c r="M386" i="53"/>
  <c r="M387" i="53"/>
  <c r="M388" i="53"/>
  <c r="M389" i="53"/>
  <c r="M390" i="53"/>
  <c r="M391" i="53"/>
  <c r="M392" i="53"/>
  <c r="M393" i="53"/>
  <c r="M394" i="53"/>
  <c r="M395" i="53"/>
  <c r="M396" i="53"/>
  <c r="M397" i="53"/>
  <c r="M398" i="53"/>
  <c r="M399" i="53"/>
  <c r="M400" i="53"/>
  <c r="M401" i="53"/>
  <c r="M402" i="53"/>
  <c r="M403" i="53"/>
  <c r="M404" i="53"/>
  <c r="M405" i="53"/>
  <c r="M406" i="53"/>
  <c r="M407" i="53"/>
  <c r="M408" i="53"/>
  <c r="M409" i="53"/>
  <c r="M410" i="53"/>
  <c r="M411" i="53"/>
  <c r="M41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Lánský Jakub (UNP-RPA)</author>
  </authors>
  <commentList>
    <comment ref="F231" authorId="0" shapeId="0" xr:uid="{E0474A29-59E6-49AA-8F2B-4525730F2417}">
      <text>
        <r>
          <rPr>
            <sz val="9"/>
            <color indexed="81"/>
            <rFont val="Tahoma"/>
            <family val="2"/>
            <charset val="238"/>
          </rPr>
          <t xml:space="preserve">
Původně se mělo hrát v Třinci, ale z mimořádných důvodů se hrálo v Litvínově.</t>
        </r>
      </text>
    </comment>
    <comment ref="H315" authorId="0" shapeId="0" xr:uid="{BCEA2F26-5C93-4F7B-89AA-1083B2856587}">
      <text>
        <r>
          <rPr>
            <b/>
            <sz val="9"/>
            <color indexed="81"/>
            <rFont val="Tahoma"/>
            <family val="2"/>
            <charset val="238"/>
          </rPr>
          <t>Ale jen díky skóre. Po 23. a 24. kole měl Litvínov stejně bodů jako Kladno a Budějovice. S oběma aktuálně horší bilance a Budějovice měly 1 zápas k dobru.</t>
        </r>
      </text>
    </comment>
    <comment ref="H316" authorId="0" shapeId="0" xr:uid="{685A42F3-AC58-42B7-B596-B74E05326F76}">
      <text>
        <r>
          <rPr>
            <b/>
            <sz val="9"/>
            <color indexed="81"/>
            <rFont val="Tahoma"/>
            <family val="2"/>
            <charset val="238"/>
          </rPr>
          <t>Ale jen díky skóre. Po 23. a 24. kole měl Litvínov stejně bodů jako Kladno a Budějovice. S oběma aktuálně horší bilance a Budějovice měly 1 zápas k dobru.</t>
        </r>
      </text>
    </comment>
    <comment ref="H317" authorId="0" shapeId="0" xr:uid="{663A5D79-9DE8-48BE-B54E-41E8F226FCDF}">
      <text>
        <r>
          <rPr>
            <b/>
            <sz val="9"/>
            <color indexed="81"/>
            <rFont val="Tahoma"/>
            <family val="2"/>
            <charset val="238"/>
          </rPr>
          <t>Ale jen díky skóre. Po 26. kole měl Litvínov stejně bodů jako Kladno a Budějovice. S oběma aktuálně horší bilance.</t>
        </r>
      </text>
    </comment>
    <comment ref="H318" authorId="0" shapeId="0" xr:uid="{C0B00D7A-01BE-4A60-B805-6A680DBC0522}">
      <text>
        <r>
          <rPr>
            <sz val="9"/>
            <color indexed="81"/>
            <rFont val="Tahoma"/>
            <family val="2"/>
            <charset val="238"/>
          </rPr>
          <t xml:space="preserve">Stále stejný počet bodů jako Kladno a Budějovice. Litvínov je 12. kvůli lepšímu skóre, ale vzájemné bilance horší s oběma týmy a Budějovice mají zápas k dobru. </t>
        </r>
      </text>
    </comment>
    <comment ref="H331" authorId="0" shapeId="0" xr:uid="{5950C5BC-FFF4-4004-82CE-EB53B24BD66B}">
      <text>
        <r>
          <rPr>
            <b/>
            <sz val="9"/>
            <color indexed="81"/>
            <rFont val="Tahoma"/>
            <family val="2"/>
            <charset val="238"/>
          </rPr>
          <t>Lánský Jakub (UNP-RPA):</t>
        </r>
        <r>
          <rPr>
            <sz val="9"/>
            <color indexed="81"/>
            <rFont val="Tahoma"/>
            <family val="2"/>
            <charset val="238"/>
          </rPr>
          <t xml:space="preserve">
Ale hlavně díky celkovému skóre. Stejně bodů jako Brno a Karlovy Vary. Karlovy Vary 1 zápas k dobru. Lepší bilance s Vary a horší s Brnem.</t>
        </r>
      </text>
    </comment>
  </commentList>
</comments>
</file>

<file path=xl/sharedStrings.xml><?xml version="1.0" encoding="utf-8"?>
<sst xmlns="http://schemas.openxmlformats.org/spreadsheetml/2006/main" count="2482" uniqueCount="216">
  <si>
    <t>PLZ</t>
  </si>
  <si>
    <t>LIB</t>
  </si>
  <si>
    <t>HRK</t>
  </si>
  <si>
    <t>SPA</t>
  </si>
  <si>
    <t>OLO</t>
  </si>
  <si>
    <t>ZLN</t>
  </si>
  <si>
    <t>TRI</t>
  </si>
  <si>
    <t>MBO</t>
  </si>
  <si>
    <t>CHO</t>
  </si>
  <si>
    <t>PAR</t>
  </si>
  <si>
    <t>VIT</t>
  </si>
  <si>
    <t>BRN</t>
  </si>
  <si>
    <t>JIH</t>
  </si>
  <si>
    <t>0:1sn</t>
  </si>
  <si>
    <t>4:3sn</t>
  </si>
  <si>
    <t>2:1pp</t>
  </si>
  <si>
    <t>2:3sn</t>
  </si>
  <si>
    <t>5:4sn</t>
  </si>
  <si>
    <t>3:4pp</t>
  </si>
  <si>
    <t>4:3pp</t>
  </si>
  <si>
    <t>Playout 1</t>
  </si>
  <si>
    <t>Playout 2</t>
  </si>
  <si>
    <t>Playout 3</t>
  </si>
  <si>
    <t>Playout 4</t>
  </si>
  <si>
    <t>Playout 5</t>
  </si>
  <si>
    <t>Playout 6</t>
  </si>
  <si>
    <t>2:3pp</t>
  </si>
  <si>
    <t>KVA</t>
  </si>
  <si>
    <t>KLA</t>
  </si>
  <si>
    <t>1:2sn</t>
  </si>
  <si>
    <t>1:0pp</t>
  </si>
  <si>
    <t>3:2pp</t>
  </si>
  <si>
    <t>3:2sn</t>
  </si>
  <si>
    <t>3:4sn</t>
  </si>
  <si>
    <t>2:1sn</t>
  </si>
  <si>
    <t>4:5pp</t>
  </si>
  <si>
    <t>BUD</t>
  </si>
  <si>
    <t>1:2pp</t>
  </si>
  <si>
    <t>5:6pp</t>
  </si>
  <si>
    <t>5:4pp</t>
  </si>
  <si>
    <t>1:0sn</t>
  </si>
  <si>
    <t>PLAYOUT 1</t>
  </si>
  <si>
    <t>PLAYOUT 2</t>
  </si>
  <si>
    <t>PLAYOUT 3</t>
  </si>
  <si>
    <t>PLAYOUT 4</t>
  </si>
  <si>
    <t>PLAYOUT 5</t>
  </si>
  <si>
    <t>PLAYOUT 6</t>
  </si>
  <si>
    <t>6:7sn</t>
  </si>
  <si>
    <t>Zín</t>
  </si>
  <si>
    <t>Date</t>
  </si>
  <si>
    <t>Result for LIT</t>
  </si>
  <si>
    <t>Standing LIT</t>
  </si>
  <si>
    <t>Points LIT</t>
  </si>
  <si>
    <t>Day</t>
  </si>
  <si>
    <t>Opponent</t>
  </si>
  <si>
    <t>Friday</t>
  </si>
  <si>
    <t>Saturday</t>
  </si>
  <si>
    <t>Sunday</t>
  </si>
  <si>
    <t>Monday</t>
  </si>
  <si>
    <t>Tuesday</t>
  </si>
  <si>
    <t>Wednesday</t>
  </si>
  <si>
    <t>Thursday</t>
  </si>
  <si>
    <t>Match</t>
  </si>
  <si>
    <t xml:space="preserve"> HRK</t>
  </si>
  <si>
    <t>1st round</t>
  </si>
  <si>
    <t>2nd round</t>
  </si>
  <si>
    <t>3rd round</t>
  </si>
  <si>
    <t>Relegation round  1</t>
  </si>
  <si>
    <t>Relegation round  2</t>
  </si>
  <si>
    <t>Relegation round  3</t>
  </si>
  <si>
    <t>Relegation round  4</t>
  </si>
  <si>
    <t>Relegation round  5</t>
  </si>
  <si>
    <t>Relegation round  6</t>
  </si>
  <si>
    <t>Relegation round  7</t>
  </si>
  <si>
    <t>Relegation round  8</t>
  </si>
  <si>
    <t>Relegation round  9</t>
  </si>
  <si>
    <t>Relegation round  10</t>
  </si>
  <si>
    <t>Relegation round  11</t>
  </si>
  <si>
    <t>Relegation round  12</t>
  </si>
  <si>
    <t xml:space="preserve">Playoff 1st round </t>
  </si>
  <si>
    <t>Playoff 1st round  1</t>
  </si>
  <si>
    <t>Playoff 1st round  2</t>
  </si>
  <si>
    <t>Playoff 1st round  3</t>
  </si>
  <si>
    <t xml:space="preserve">Playoff 1st round 1 </t>
  </si>
  <si>
    <t>Playoff 1st round 2</t>
  </si>
  <si>
    <t>Playoff 1st round 3</t>
  </si>
  <si>
    <t>Quarter-finale  1</t>
  </si>
  <si>
    <t>Quarter-finale  2</t>
  </si>
  <si>
    <t>Quarter-finale  3</t>
  </si>
  <si>
    <t>Quarter-finale  4</t>
  </si>
  <si>
    <t>Quarter-finale  5</t>
  </si>
  <si>
    <t>Quarter-finale  6</t>
  </si>
  <si>
    <t>4 th round</t>
  </si>
  <si>
    <t>5 th round</t>
  </si>
  <si>
    <t>6 th round</t>
  </si>
  <si>
    <t>7 th round</t>
  </si>
  <si>
    <t>8 th round</t>
  </si>
  <si>
    <t>9 th round</t>
  </si>
  <si>
    <t>10 th round</t>
  </si>
  <si>
    <t>11 th round</t>
  </si>
  <si>
    <t>12 th round</t>
  </si>
  <si>
    <t>13 th round</t>
  </si>
  <si>
    <t>14 th round</t>
  </si>
  <si>
    <t>15 th round</t>
  </si>
  <si>
    <t>16 th round</t>
  </si>
  <si>
    <t>17 th round</t>
  </si>
  <si>
    <t>18 th round</t>
  </si>
  <si>
    <t>19 th round</t>
  </si>
  <si>
    <t>20 th round</t>
  </si>
  <si>
    <t>21 th round</t>
  </si>
  <si>
    <t>22 th round</t>
  </si>
  <si>
    <t>23 th round</t>
  </si>
  <si>
    <t>24 th round</t>
  </si>
  <si>
    <t>25 th round</t>
  </si>
  <si>
    <t>26 th round</t>
  </si>
  <si>
    <t>27 th round</t>
  </si>
  <si>
    <t>28 th round</t>
  </si>
  <si>
    <t>29 th round</t>
  </si>
  <si>
    <t>30 th round</t>
  </si>
  <si>
    <t>31 th round</t>
  </si>
  <si>
    <t>32 th round</t>
  </si>
  <si>
    <t>33 th round</t>
  </si>
  <si>
    <t>34 th round</t>
  </si>
  <si>
    <t>35 th round</t>
  </si>
  <si>
    <t>36 th round</t>
  </si>
  <si>
    <t>37 th round</t>
  </si>
  <si>
    <t>38 th round</t>
  </si>
  <si>
    <t>39 th round</t>
  </si>
  <si>
    <t>40 th round</t>
  </si>
  <si>
    <t>41 th round</t>
  </si>
  <si>
    <t>42 th round</t>
  </si>
  <si>
    <t>43 th round</t>
  </si>
  <si>
    <t>44 th round</t>
  </si>
  <si>
    <t>45 th round</t>
  </si>
  <si>
    <t>46 th round</t>
  </si>
  <si>
    <t>47 th round</t>
  </si>
  <si>
    <t>48 th round</t>
  </si>
  <si>
    <t>49 th round</t>
  </si>
  <si>
    <t>50 th round</t>
  </si>
  <si>
    <t>51 th round</t>
  </si>
  <si>
    <t>52 th round</t>
  </si>
  <si>
    <t>53 th round</t>
  </si>
  <si>
    <t>54 th round</t>
  </si>
  <si>
    <t>55 th round</t>
  </si>
  <si>
    <t>56 th round</t>
  </si>
  <si>
    <t>57 th round</t>
  </si>
  <si>
    <t>58 th round</t>
  </si>
  <si>
    <t>59 th round</t>
  </si>
  <si>
    <t>60 th round</t>
  </si>
  <si>
    <t>Semi-final  1</t>
  </si>
  <si>
    <t>Semi-final 2</t>
  </si>
  <si>
    <t>Semi-final 3</t>
  </si>
  <si>
    <t>Semi-final 4</t>
  </si>
  <si>
    <t>Match order in season</t>
  </si>
  <si>
    <t xml:space="preserve">, </t>
  </si>
  <si>
    <t>Away</t>
  </si>
  <si>
    <t>Homeoma/Awayenku</t>
  </si>
  <si>
    <t>Home</t>
  </si>
  <si>
    <t>Open air HomeresHomeen</t>
  </si>
  <si>
    <t>HomeAway</t>
  </si>
  <si>
    <t>1:5</t>
  </si>
  <si>
    <t>0:1</t>
  </si>
  <si>
    <t>0:2</t>
  </si>
  <si>
    <t>0:3</t>
  </si>
  <si>
    <t>0:4</t>
  </si>
  <si>
    <t>0:5</t>
  </si>
  <si>
    <t>1:0</t>
  </si>
  <si>
    <t>1:2</t>
  </si>
  <si>
    <t>1:3</t>
  </si>
  <si>
    <t>1:4</t>
  </si>
  <si>
    <t>1:6</t>
  </si>
  <si>
    <t>1:7</t>
  </si>
  <si>
    <t>2:0</t>
  </si>
  <si>
    <t>2:1</t>
  </si>
  <si>
    <t>2:3</t>
  </si>
  <si>
    <t>2:4</t>
  </si>
  <si>
    <t>2:5</t>
  </si>
  <si>
    <t>2:6</t>
  </si>
  <si>
    <t>3:0</t>
  </si>
  <si>
    <t>3:1</t>
  </si>
  <si>
    <t>3:2</t>
  </si>
  <si>
    <t>3:4</t>
  </si>
  <si>
    <t>3:5</t>
  </si>
  <si>
    <t>3:6</t>
  </si>
  <si>
    <t>3:7</t>
  </si>
  <si>
    <t>3:8</t>
  </si>
  <si>
    <t>4:0</t>
  </si>
  <si>
    <t>4:1</t>
  </si>
  <si>
    <t>4:2</t>
  </si>
  <si>
    <t>4:3</t>
  </si>
  <si>
    <t>4:5</t>
  </si>
  <si>
    <t>4:6</t>
  </si>
  <si>
    <t>4:7</t>
  </si>
  <si>
    <t>4:8</t>
  </si>
  <si>
    <t>5:0</t>
  </si>
  <si>
    <t>5:1</t>
  </si>
  <si>
    <t>5:2</t>
  </si>
  <si>
    <t>5:3</t>
  </si>
  <si>
    <t>5:4</t>
  </si>
  <si>
    <t>5:6</t>
  </si>
  <si>
    <t>6:1</t>
  </si>
  <si>
    <t>6:2</t>
  </si>
  <si>
    <t>6:3</t>
  </si>
  <si>
    <t>6:4</t>
  </si>
  <si>
    <t>6:5</t>
  </si>
  <si>
    <t>7:2</t>
  </si>
  <si>
    <t>7:3</t>
  </si>
  <si>
    <t>7:4</t>
  </si>
  <si>
    <t>8:1</t>
  </si>
  <si>
    <t/>
  </si>
  <si>
    <t>8. 9. 2017</t>
  </si>
  <si>
    <t>10. 9. 2017</t>
  </si>
  <si>
    <t>12. 9. 2017</t>
  </si>
  <si>
    <t>17. 9. 2017</t>
  </si>
  <si>
    <t>22. 9. 2017</t>
  </si>
  <si>
    <t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'17'), ('04.11.2022', '18', '18 th round', 'KLA', 'Friday', 'Away', '2:3pp', '14', '18'), ('06.11.2022', '19', '19 th round', 'KVA', 'Sunday', 'Home', '5:3', '12', '21'), ('18.11.2022', '20', '20 th round', 'HRK', 'Friday', 'Away', '0:3', '13', '21'), ('20.11.2022', '21', '21 th round', 'BRN', 'Sunday', 'Home', '5:1', '11', '24'), ('25.11.2022', '22', '22 th round', 'TRI', 'Friday', 'Home', '1:2pp', '12', '25'), ('27.11.2022', '23', '23 th round', 'MBO', 'Sunday', 'Away', '4:6', '12', '25'), ('29.11.2022', '24', '24 th round', 'PLZ', 'Tuesday', 'Home', '2:4', '12', '25'), ('04.12.2022', '25', '26 th round', 'OLO', 'Sunday', 'Home', '5:3', '12', '28'), ('06.12.2022', '26', '25 th round', 'PAR', 'Tuesday', 'Away', '0:1', '12', '28'), ('09.12.2022', '27', '27 th round', 'VIT', 'Friday', 'Home', '5:3', '12', '31'), ('11.12.2022', '28', '28 th round', 'SPA', 'Sunday', 'Home', '5:2', '12', '34'), ('20.12.2022', '29', '29 th round', 'LIB', 'Tuesday', 'Home', '3:2sn', '11', '36'), ('22.12.2022', '30', '30 th round', 'BUD', 'Thursday', 'Away', '5:2', '11', '39'), ('26.12.2022', '31', '31 th round', 'KLA', 'Monday', 'Home', '2:3', '11', '39'), ('28.12.2022', '32', '32 th round', 'KVA', 'Wednesday', 'Away', '0:3', '11', '39'), ('30.12.2022', '33', '33 th round', 'HRK', 'Friday', 'Home', '2:3pp', '11', '40'), ('03.1.2023', '34', '34 th round', 'BRN', 'Tuesday', 'Away', '1:3', '12', '40'), ('06.1.2023', '35', '35 th round', 'TRI', 'Friday', 'Away', '2:3pp', '11', '41'), ('08.1.2023', '36', '36 th round', 'MBO', 'Sunday', 'Home', '4:3', '10', '44'), ('13.1.2023', '37', '37 th round', 'PLZ', 'Friday', 'Away', '1:4', '11', '44'), ('15.1.2023', '38', '38 th round', 'PAR', 'Sunday', 'Home', '1:2', '11', '44'), ('20.1.2023', '39', '39 th round', 'OLO', 'Friday', 'Away', '8:1', '10', '47'), ('22.1.2023', '40', '40 th round', 'VIT', 'Sunday', 'Away', '3:2sn', '11', '49'), ('25.1.2023', '41', '41 th round', 'SPA', 'Wednesday', 'Away', '2:3', '12', '49'), ('27.1.2023', '42', '42 th round', 'LIB', 'Friday', 'Away', '1:5', '13', '49'), ('29.1.2023', '43', '43 th round', 'BUD', 'Sunday', 'Home', '1:0sn', '12', '51'), ('03.2.2023', '44', '44 th round', 'KLA', 'Friday', 'Away', '2:5', '12', '51'), ('05.2.2023', '45', '45 th round', 'KVA', 'Sunday', 'Home', '1:2pp', '12', '52'), ('15.2.2023', '46', '46 th round', 'HRK', 'Wednesday', 'Away', '0:3', '12', '52'), ('17.2.2023', '47', '47 th round', 'BRN', 'Friday', 'Home', '3:2sn', '12', '54'), ('19.2.2023', '48', '48 th round', 'TRI', 'Sunday', 'Home', '4:3pp', '12', '56'), ('24.2.2023', '49', '49 th round', 'MBO', 'Friday', 'Away', '2:1', '12', '59'), ('26.2.2023', '50', '50 th round', 'PLZ', 'Sunday', 'Home', '2:1', '11', '62'), ('03.3.2023', '51', '51 th round', 'PAR', 'Friday', 'Away', '3:2sn', '12', '64'), ('05.3.2023', '52', '52 th round', 'OLO', 'Sunday', 'Home', '5:1', '11', '67'), ('08.3.2023', '53', 'Playoff 1st round ', 'TRI', 'Wednesday', 'Away', '1:3', '', ''), ('09.3.2023', '54', 'Playoff 1st round ', 'TRI', 'Thursday', 'Away', '4:5pp', '', ''), ('11.3.2023', '55', 'Playoff 1st round ', 'TRI', 'Saturday', 'Home', '2:4', '', ''), ('15.9.2023', '1', '1st round', 'PAR', 'Friday', 'Away', '1:5', '13', '0'), ('17.9.2023', '2', '2nd round', 'PLZ', 'Sunday', 'Home', '4:2', '10', '3'), ('22.9.2023', '3', '3rd round', 'BRN', 'Friday', 'Away', '3:2', '7', '6'), ('24.9.2023', '4', '4 th round', 'LIB', 'Sunday', 'Home', '4:1', '3', '9'), ('27.9.2023', '5', '5 th round', 'HRK', 'Wednesday', 'Away', '3:2sn', '3', '11'), ('29.9.2023', '6', '6 th round', 'MBO', 'Friday', 'Home', '5:2', '3', '14'), ('01.10.2023', '7', '7 th round', 'TRI', 'Sunday', 'Home', '6:4', '2', '17'), ('06.10.2023', '8', '8 th round', 'KVA', 'Friday', 'Away', '4:1', '2', '20'), ('08.10.2023', '9', '9 th round', 'BUD', 'Sunday', 'Home', '4:3', '2', '23'), ('13.10.2023', '10', '10 th round', 'SPA', 'Friday', 'Home', '4:2', '2', '26'), ('15.10.2023', '11', '11 th round', 'KLA', 'Sunday', 'Home', '5:4pp', '2', '28'), ('20.10.2023', '12', '12 th round', 'VIT', 'Friday', 'Home', '6:3', '2', '31'), ('22.10.2023', '13', '13 th round', 'OLO', 'Sunday', 'Away', '1:2', '2', '31'), ('27.10.2023', '14', '14 th round', 'PAR', 'Friday', 'Home', '4:1', '1', '34'), ('29.10.2023', '15', '15 th round', 'PLZ', 'Sunday', 'Away', '2:5', '2', '34'), ('31.10.2023', '16', '16 th round', 'BRN', 'Tuesday', 'Home', '6:3', '2', '37'), ('03.11.2023', '17', '17 th round', 'LIB', 'Friday', 'Away', '2:5', '2', '37'), ('05.11.2023', '18', '18 th round', 'HRK', 'Sunday', 'Home', '0:2', '2', '37'), ('17.11.2023', '19', '19 th round', 'MBO', 'Friday', 'Away', '0:5', '3', '37'), ('19.11.2023', '20', '20 th round', 'TRI', 'Sunday', 'Away', '3:2pp', '3', '39'), ('24.11.2023', '21', '21 th round', 'KVA', 'Friday', 'Home', '6:4', '3', '42'), ('26.11.2023', '22', '22 th round', 'BUD', 'Sunday', 'Away', '0:1', '4', '42'), ('28.11.2023', '23', '23 th round', 'SPA', 'Tuesday', 'Away', '1:3', '4', '42'), ('01.12.2023', '24', '24 th round', 'KLA', 'Friday', 'Away', '0:3', '4', '42'), ('03.12.2023', '25', '25 th round', 'VIT', 'Sunday', 'Away', '2:6', '4', '42'), ('08.12.2023', '26', '26 th round', 'OLO', 'Friday', 'Home', '1:2pp', '5', '43'), ('10.12.2023', '27', '27 th round', 'PAR', 'Sunday', 'Away', '4:2', '5', '46'), ('20.12.2023', '28', '28 th round', 'PLZ', 'Wednesday', 'Home', '2:3sn', '5', '47'), ('26.12.2023', '29', '30 th round', 'LIB', 'Tuesday', 'Home', '6:3', '4', '50'), ('28.12.2023', '30', '31 th round', 'HRK', 'Thursday', 'Away', '5:1', '4', '53'), ('30.12.2023', '31', '32 th round', 'MBO', 'Saturday', 'Home', '6:1', '4', '56'), ('03.1.2024', '32', '47 th round', 'KVA', 'Wednesday', 'Home', '1:6', '4', '56'), ('05.1.2024', '33', '33 th round', 'TRI', 'Friday', 'Home', '5:2', '4', '59'), ('07.1.2024', '34', '34 th round', 'KVA', 'Sunday', 'Away', '1:2pp', '4', '60'), ('12.1.2024', '35', '35 th round', 'BUD', 'Friday', 'Home', '4:3pp', '4', '62'), ('14.1.2024', '36', '36 th round', 'SPA', 'Sunday', 'Away', '3:6', '4', '62'), ('17.1.2024', '37', '29 th round', 'BRN', 'Wednesday', 'Away', '1:3', '4', '62'), ('19.1.2024', '38', '37 th round', 'KLA', 'Friday', 'Home', '4:3', '4', '65'), ('21.1.2024', '39', '38 th round', 'VIT', 'Sunday', 'Away', '1:5', '4', '65'), ('23.1.2024', '40', '39 th round', 'OLO', 'Tuesday', 'Home', '4:1', '4', '68'), ('26.1.2024', '41', '40 th round', 'PAR', 'Friday', 'Home', '1:3', '4', '68'), ('28.1.2024', '42', '41 th round', 'PLZ', 'Sunday', 'Away', '5:3', '4', '71'), ('02.2.2024', '43', '42 th round', 'BRN', 'Friday', 'Home', '2:3', '4', '71'), ('04.2.2024', '44', '43 th round', 'LIB', 'Sunday', 'Away', '2:6', '6', '71'), ('14.2.2024', '45', '44 th round', 'HRK', 'Wednesday', 'Home', '5:6pp', '6', '72'), ('16.2.2024', '46', '45 th round', 'MBO', 'Friday', 'Away', '3:2', '5', '75'), ('18.2.2024', '47', '46 th round', 'TRI', 'Sunday', 'Away', '2:5', '6', '75'), ('23.2.2024', '48', '48 th round', 'BUD', 'Friday', 'Away', '7:4', '4', '78'), ('25.2.2024', '49', '49 th round', 'SPA', 'Sunday', 'Home', '3:8', '5', '78'), ('27.2.2024', '50', '50 th round', 'KLA', 'Tuesday', 'Away', '0:2', '7', '78'), ('01.3.2024', '51', '51 th round', 'VIT', 'Friday', 'Home', '5:4', '6', '81'), ('03.3.2024', '52', '52 th round', 'OLO', 'Sunday', 'Away', '4:3sn', '5', '83'), ('06.3.2024', '53', 'Playoff 1st round  1', 'PLZ', 'Wednesday', 'Home', '4:2', '', ''), ('07.3.2024', '54', 'Playoff 1st round  2', 'PLZ', 'Thursday', 'Home', '4:1', '', ''), ('09.3.2024', '55', 'Playoff 1st round  3', 'PLZ', 'Saturday', 'Away', '2:1pp', '', ''), ('17.3.2024', '56', 'Quarter-finale  1', 'BRN', 'Sunday', 'Away', '2:1sn', '', ''), ('18.3.2024', '57', 'Quarter-finale  2', 'BRN', 'Monday', 'Away', '5:1', '', ''), ('21.3.2024', '58', 'Quarter-finale  3', 'BRN', 'Thursday', 'Home', '3:4', '', ''), ('22.3.2024', '59', 'Quarter-finale  4', 'BRN', 'Friday', 'Home', '1:5', '', ''), ('24.3.2024', '60', 'Quarter-finale  5', 'BRN', 'Sunday', 'Away', '2:1pp', '', ''), ('26.3.2024', '61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</si>
</sst>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"/>
  </numFmts>
  <fonts count="9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sz val="10"/>
      <name val="Arial"/>
      <family val="2"/>
      <charset val="238"/>
    </font>
    <font>
      <b/>
      <sz val="11"/>
      <color theme="1"/>
      <name val="Calibri"/>
      <family val="2"/>
      <charset val="238"/>
      <scheme val="minor"/>
    </font>
    <font>
      <b/>
      <i/>
      <sz val="11"/>
      <color theme="1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b/>
      <sz val="9"/>
      <color indexed="81"/>
      <name val="Tahoma"/>
      <family val="2"/>
      <charset val="238"/>
    </font>
    <font>
      <sz val="9"/>
      <color indexed="81"/>
      <name val="Tahoma"/>
      <family val="2"/>
      <charset val="238"/>
    </font>
    <font>
      <sz val="8"/>
      <name val="Calibri"/>
      <family val="2"/>
      <charset val="23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2" fillId="0" borderId="0"/>
  </cellStyleXfs>
  <cellXfs count="14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0" fontId="3" fillId="2" borderId="0" xfId="0" applyFont="1" applyFill="1" applyAlignment="1">
      <alignment horizontal="center"/>
    </xf>
    <xf numFmtId="0" fontId="3" fillId="4" borderId="0" xfId="0" applyFont="1" applyFill="1" applyAlignment="1">
      <alignment horizontal="center"/>
    </xf>
    <xf numFmtId="0" fontId="4" fillId="0" borderId="0" xfId="0" applyFont="1" applyAlignment="1">
      <alignment horizontal="center"/>
    </xf>
    <xf numFmtId="0" fontId="4" fillId="5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3" fillId="3" borderId="0" xfId="0" applyFont="1" applyFill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quotePrefix="1"/>
    <xf numFmtId="14" fontId="0" fillId="0" borderId="0" xfId="0" applyNumberFormat="1"/>
  </cellXfs>
  <cellStyles count="3">
    <cellStyle name="Normální" xfId="0" builtinId="0"/>
    <cellStyle name="Normální 2" xfId="1" xr:uid="{00000000-0005-0000-0000-000002000000}"/>
    <cellStyle name="Normální 3" xfId="2" xr:uid="{00000000-0005-0000-0000-000003000000}"/>
  </cellStyles>
  <dxfs count="70">
    <dxf>
      <font>
        <b/>
        <i val="0"/>
      </font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540B16-3FD1-4FBA-BB21-A3E88F4054EE}">
  <dimension ref="A1:W415"/>
  <sheetViews>
    <sheetView tabSelected="1" workbookViewId="0">
      <pane ySplit="1" topLeftCell="A2" activePane="bottomLeft" state="frozen"/>
      <selection pane="bottomLeft" activeCell="M2" sqref="M2"/>
    </sheetView>
  </sheetViews>
  <sheetFormatPr defaultRowHeight="15" x14ac:dyDescent="0.25"/>
  <cols>
    <col min="1" max="1" width="15.5703125" customWidth="1"/>
    <col min="2" max="2" width="21.28515625" customWidth="1"/>
    <col min="3" max="3" width="18" customWidth="1"/>
    <col min="4" max="4" width="22.28515625" customWidth="1"/>
    <col min="6" max="6" width="15.85546875" customWidth="1"/>
    <col min="7" max="7" width="17.140625" customWidth="1"/>
    <col min="8" max="8" width="15.28515625" customWidth="1"/>
    <col min="9" max="9" width="16.5703125" customWidth="1"/>
    <col min="20" max="20" width="10.140625" bestFit="1" customWidth="1"/>
  </cols>
  <sheetData>
    <row r="1" spans="1:23" x14ac:dyDescent="0.25">
      <c r="A1" s="1" t="s">
        <v>49</v>
      </c>
      <c r="B1" s="1" t="s">
        <v>153</v>
      </c>
      <c r="C1" s="1" t="s">
        <v>62</v>
      </c>
      <c r="D1" s="1" t="s">
        <v>54</v>
      </c>
      <c r="E1" s="1" t="s">
        <v>53</v>
      </c>
      <c r="F1" s="1" t="s">
        <v>156</v>
      </c>
      <c r="G1" s="1" t="s">
        <v>50</v>
      </c>
      <c r="H1" s="1" t="s">
        <v>51</v>
      </c>
      <c r="I1" s="1" t="s">
        <v>52</v>
      </c>
    </row>
    <row r="2" spans="1:23" x14ac:dyDescent="0.25">
      <c r="A2" s="11" t="s">
        <v>210</v>
      </c>
      <c r="B2" s="1">
        <v>1</v>
      </c>
      <c r="C2" s="1" t="s">
        <v>64</v>
      </c>
      <c r="D2" s="1" t="s">
        <v>0</v>
      </c>
      <c r="E2" s="1" t="s">
        <v>55</v>
      </c>
      <c r="F2" s="1" t="s">
        <v>155</v>
      </c>
      <c r="G2" s="11" t="s">
        <v>160</v>
      </c>
      <c r="H2" s="3"/>
      <c r="I2" s="1">
        <v>0</v>
      </c>
      <c r="K2" s="12" t="s">
        <v>209</v>
      </c>
      <c r="L2" t="s">
        <v>154</v>
      </c>
      <c r="M2" t="str">
        <f>CONCATENATE("(","'",TEXT(A2,"dd.m.rrrrr"),"'",L2,"'",B2,"'",L2,"'",C2,"'",L2,"'",D2,"'",L2,"'",E2,"'",L2,"'",F2,"'",L2,"'",G2,"'",L2,"'",H2,"'",L2,"'",I2,"'",")")</f>
        <v>('08.9.2017', '1', '1st round', 'PLZ', 'Friday', 'Away', '1:5', '', '0')</v>
      </c>
    </row>
    <row r="3" spans="1:23" x14ac:dyDescent="0.25">
      <c r="A3" s="11" t="s">
        <v>211</v>
      </c>
      <c r="B3" s="1">
        <v>2</v>
      </c>
      <c r="C3" s="1" t="s">
        <v>65</v>
      </c>
      <c r="D3" s="1" t="s">
        <v>1</v>
      </c>
      <c r="E3" s="1" t="s">
        <v>57</v>
      </c>
      <c r="F3" s="1" t="s">
        <v>157</v>
      </c>
      <c r="G3" s="11" t="s">
        <v>172</v>
      </c>
      <c r="H3" s="3"/>
      <c r="I3" s="1">
        <v>3</v>
      </c>
      <c r="L3" t="s">
        <v>154</v>
      </c>
      <c r="M3" t="str">
        <f>CONCATENATE("(","'",TEXT(A3,"dd.m.rrrrr"),"'",L3,"'",B3,"'",L3,"'",C3,"'",L3,"'",D3,"'",L3,"'",E3,"'",L3,"'",F3,"'",L3,"'",G3,"'",L3,"'",H3,"'",L3,"'",I3,"'",")")</f>
        <v>('10.9.2017', '2', '2nd round', 'LIB', 'Sunday', 'Home', '2:0', '', '3')</v>
      </c>
      <c r="W3" t="str">
        <f>CONCATENATE(M2,", ",M3)</f>
        <v>('08.9.2017', '1', '1st round', 'PLZ', 'Friday', 'Away', '1:5', '', '0'), ('10.9.2017', '2', '2nd round', 'LIB', 'Sunday', 'Home', '2:0', '', '3')</v>
      </c>
    </row>
    <row r="4" spans="1:23" x14ac:dyDescent="0.25">
      <c r="A4" s="11" t="s">
        <v>212</v>
      </c>
      <c r="B4" s="1">
        <v>3</v>
      </c>
      <c r="C4" s="1" t="s">
        <v>66</v>
      </c>
      <c r="D4" s="1" t="s">
        <v>2</v>
      </c>
      <c r="E4" s="1" t="s">
        <v>59</v>
      </c>
      <c r="F4" s="1" t="s">
        <v>157</v>
      </c>
      <c r="G4" s="11" t="s">
        <v>178</v>
      </c>
      <c r="H4" s="3"/>
      <c r="I4" s="1">
        <v>6</v>
      </c>
      <c r="L4" t="s">
        <v>154</v>
      </c>
      <c r="M4" t="str">
        <f>CONCATENATE("(","'",TEXT(A4,"dd.m.rrrrr"),"'",L4,"'",B4,"'",L4,"'",C4,"'",L4,"'",D4,"'",L4,"'",E4,"'",L4,"'",F4,"'",L4,"'",G4,"'",L4,"'",H4,"'",L4,"'",I4,"'",")")</f>
        <v>('12.9.2017', '3', '3rd round', 'HRK', 'Tuesday', 'Home', '3:0', '', '6')</v>
      </c>
      <c r="W4" t="str">
        <f>CONCATENATE(W3,", ",M4)</f>
        <v>('08.9.2017', '1', '1st round', 'PLZ', 'Friday', 'Away', '1:5', '', '0'), ('10.9.2017', '2', '2nd round', 'LIB', 'Sunday', 'Home', '2:0', '', '3'), ('12.9.2017', '3', '3rd round', 'HRK', 'Tuesday', 'Home', '3:0', '', '6')</v>
      </c>
    </row>
    <row r="5" spans="1:23" x14ac:dyDescent="0.25">
      <c r="A5" s="11" t="s">
        <v>213</v>
      </c>
      <c r="B5" s="1">
        <v>4</v>
      </c>
      <c r="C5" s="1" t="s">
        <v>93</v>
      </c>
      <c r="D5" s="1" t="s">
        <v>4</v>
      </c>
      <c r="E5" s="1" t="s">
        <v>57</v>
      </c>
      <c r="F5" s="1" t="s">
        <v>157</v>
      </c>
      <c r="G5" s="11" t="s">
        <v>163</v>
      </c>
      <c r="H5" s="3"/>
      <c r="I5" s="1">
        <v>6</v>
      </c>
      <c r="L5" t="s">
        <v>154</v>
      </c>
      <c r="M5" t="str">
        <f>CONCATENATE("(","'",TEXT(A5,"dd.m.rrrrr"),"'",L5,"'",B5,"'",L5,"'",C5,"'",L5,"'",D5,"'",L5,"'",E5,"'",L5,"'",F5,"'",L5,"'",G5,"'",L5,"'",H5,"'",L5,"'",I5,"'",")")</f>
        <v>('17.9.2017', '4', '5 th round', 'OLO', 'Sunday', 'Home', '0:3', '', '6')</v>
      </c>
      <c r="W5" t="str">
        <f>CONCATENATE(W4,", ",M5)</f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</v>
      </c>
    </row>
    <row r="6" spans="1:23" x14ac:dyDescent="0.25">
      <c r="A6" s="11" t="s">
        <v>214</v>
      </c>
      <c r="B6" s="1">
        <v>5</v>
      </c>
      <c r="C6" s="1" t="s">
        <v>94</v>
      </c>
      <c r="D6" s="1" t="s">
        <v>5</v>
      </c>
      <c r="E6" s="1" t="s">
        <v>55</v>
      </c>
      <c r="F6" s="1" t="s">
        <v>155</v>
      </c>
      <c r="G6" s="11" t="s">
        <v>174</v>
      </c>
      <c r="H6" s="3"/>
      <c r="I6" s="1">
        <v>6</v>
      </c>
      <c r="L6" t="s">
        <v>154</v>
      </c>
      <c r="M6" t="str">
        <f>CONCATENATE("(","'",TEXT(A6,"dd.m.rrrrr"),"'",L6,"'",B6,"'",L6,"'",C6,"'",L6,"'",D6,"'",L6,"'",E6,"'",L6,"'",F6,"'",L6,"'",G6,"'",L6,"'",H6,"'",L6,"'",I6,"'",")")</f>
        <v>('22.9.2017', '5', '6 th round', 'ZLN', 'Friday', 'Away', '2:3', '', '6')</v>
      </c>
      <c r="W6" t="str">
        <f t="shared" ref="W6:W68" si="0">CONCATENATE(W5,", ",M6)</f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</v>
      </c>
    </row>
    <row r="7" spans="1:23" x14ac:dyDescent="0.25">
      <c r="A7" s="2">
        <v>43001</v>
      </c>
      <c r="B7" s="1">
        <v>6</v>
      </c>
      <c r="C7" s="1" t="s">
        <v>95</v>
      </c>
      <c r="D7" s="1" t="s">
        <v>6</v>
      </c>
      <c r="E7" s="1" t="s">
        <v>56</v>
      </c>
      <c r="F7" s="1" t="s">
        <v>155</v>
      </c>
      <c r="G7" s="11" t="s">
        <v>160</v>
      </c>
      <c r="H7" s="3"/>
      <c r="I7" s="1">
        <v>6</v>
      </c>
      <c r="L7" t="s">
        <v>154</v>
      </c>
      <c r="M7" t="str">
        <f>CONCATENATE("(","'",TEXT(A7,"dd.m.rrrrr"),"'",L7,"'",B7,"'",L7,"'",C7,"'",L7,"'",D7,"'",L7,"'",E7,"'",L7,"'",F7,"'",L7,"'",G7,"'",L7,"'",H7,"'",L7,"'",I7,"'",")")</f>
        <v>('23.9.2017', '6', '7 th round', 'TRI', 'Saturday', 'Away', '1:5', '', '6')</v>
      </c>
      <c r="W7" t="str">
        <f t="shared" si="0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</v>
      </c>
    </row>
    <row r="8" spans="1:23" x14ac:dyDescent="0.25">
      <c r="A8" s="2">
        <v>43007</v>
      </c>
      <c r="B8" s="1">
        <v>7</v>
      </c>
      <c r="C8" s="1" t="s">
        <v>96</v>
      </c>
      <c r="D8" s="1" t="s">
        <v>7</v>
      </c>
      <c r="E8" s="1" t="s">
        <v>55</v>
      </c>
      <c r="F8" s="1" t="s">
        <v>155</v>
      </c>
      <c r="G8" s="11" t="s">
        <v>162</v>
      </c>
      <c r="H8" s="3"/>
      <c r="I8" s="1">
        <v>6</v>
      </c>
      <c r="L8" t="s">
        <v>154</v>
      </c>
      <c r="M8" t="str">
        <f>CONCATENATE("(","'",TEXT(A8,"dd.m.rrrrr"),"'",L8,"'",B8,"'",L8,"'",C8,"'",L8,"'",D8,"'",L8,"'",E8,"'",L8,"'",F8,"'",L8,"'",G8,"'",L8,"'",H8,"'",L8,"'",I8,"'",")")</f>
        <v>('29.9.2017', '7', '8 th round', 'MBO', 'Friday', 'Away', '0:2', '', '6')</v>
      </c>
      <c r="W8" t="str">
        <f t="shared" si="0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</v>
      </c>
    </row>
    <row r="9" spans="1:23" x14ac:dyDescent="0.25">
      <c r="A9" s="2">
        <v>43009</v>
      </c>
      <c r="B9" s="1">
        <v>8</v>
      </c>
      <c r="C9" s="1" t="s">
        <v>97</v>
      </c>
      <c r="D9" s="1" t="s">
        <v>8</v>
      </c>
      <c r="E9" s="1" t="s">
        <v>57</v>
      </c>
      <c r="F9" s="1" t="s">
        <v>157</v>
      </c>
      <c r="G9" s="11" t="s">
        <v>174</v>
      </c>
      <c r="H9" s="3"/>
      <c r="I9" s="1">
        <v>6</v>
      </c>
      <c r="L9" t="s">
        <v>154</v>
      </c>
      <c r="M9" t="str">
        <f>CONCATENATE("(","'",TEXT(A9,"dd.m.rrrrr"),"'",L9,"'",B9,"'",L9,"'",C9,"'",L9,"'",D9,"'",L9,"'",E9,"'",L9,"'",F9,"'",L9,"'",G9,"'",L9,"'",H9,"'",L9,"'",I9,"'",")")</f>
        <v>('01.10.2017', '8', '9 th round', 'CHO', 'Sunday', 'Home', '2:3', '', '6')</v>
      </c>
      <c r="W9" t="str">
        <f t="shared" si="0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</v>
      </c>
    </row>
    <row r="10" spans="1:23" x14ac:dyDescent="0.25">
      <c r="A10" s="2">
        <v>43014</v>
      </c>
      <c r="B10" s="1">
        <v>9</v>
      </c>
      <c r="C10" s="1" t="s">
        <v>98</v>
      </c>
      <c r="D10" s="1" t="s">
        <v>12</v>
      </c>
      <c r="E10" s="1" t="s">
        <v>55</v>
      </c>
      <c r="F10" s="1" t="s">
        <v>155</v>
      </c>
      <c r="G10" s="11" t="s">
        <v>169</v>
      </c>
      <c r="H10" s="3"/>
      <c r="I10" s="1">
        <v>6</v>
      </c>
      <c r="L10" t="s">
        <v>154</v>
      </c>
      <c r="M10" t="str">
        <f>CONCATENATE("(","'",TEXT(A10,"dd.m.rrrrr"),"'",L10,"'",B10,"'",L10,"'",C10,"'",L10,"'",D10,"'",L10,"'",E10,"'",L10,"'",F10,"'",L10,"'",G10,"'",L10,"'",H10,"'",L10,"'",I10,"'",")")</f>
        <v>('06.10.2017', '9', '10 th round', 'JIH', 'Friday', 'Away', '1:4', '', '6')</v>
      </c>
      <c r="T10" s="13"/>
      <c r="W10" t="str">
        <f t="shared" si="0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</v>
      </c>
    </row>
    <row r="11" spans="1:23" x14ac:dyDescent="0.25">
      <c r="A11" s="2">
        <v>43016</v>
      </c>
      <c r="B11" s="1">
        <v>10</v>
      </c>
      <c r="C11" s="1" t="s">
        <v>99</v>
      </c>
      <c r="D11" s="1" t="s">
        <v>9</v>
      </c>
      <c r="E11" s="1" t="s">
        <v>57</v>
      </c>
      <c r="F11" s="1" t="s">
        <v>157</v>
      </c>
      <c r="G11" s="1" t="s">
        <v>13</v>
      </c>
      <c r="H11" s="3"/>
      <c r="I11" s="1">
        <v>7</v>
      </c>
      <c r="L11" t="s">
        <v>154</v>
      </c>
      <c r="M11" t="str">
        <f>CONCATENATE("(","'",TEXT(A11,"dd.m.rrrrr"),"'",L11,"'",B11,"'",L11,"'",C11,"'",L11,"'",D11,"'",L11,"'",E11,"'",L11,"'",F11,"'",L11,"'",G11,"'",L11,"'",H11,"'",L11,"'",I11,"'",")")</f>
        <v>('08.10.2017', '10', '11 th round', 'PAR', 'Sunday', 'Home', '0:1sn', '', '7')</v>
      </c>
      <c r="W11" t="str">
        <f t="shared" si="0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</v>
      </c>
    </row>
    <row r="12" spans="1:23" x14ac:dyDescent="0.25">
      <c r="A12" s="2">
        <v>43018</v>
      </c>
      <c r="B12" s="1">
        <v>11</v>
      </c>
      <c r="C12" s="1" t="s">
        <v>92</v>
      </c>
      <c r="D12" s="1" t="s">
        <v>3</v>
      </c>
      <c r="E12" s="1" t="s">
        <v>59</v>
      </c>
      <c r="F12" s="1" t="s">
        <v>155</v>
      </c>
      <c r="G12" s="11" t="s">
        <v>168</v>
      </c>
      <c r="H12" s="3"/>
      <c r="I12" s="1">
        <v>7</v>
      </c>
      <c r="L12" t="s">
        <v>154</v>
      </c>
      <c r="M12" t="str">
        <f>CONCATENATE("(","'",TEXT(A12,"dd.m.rrrrr"),"'",L12,"'",B12,"'",L12,"'",C12,"'",L12,"'",D12,"'",L12,"'",E12,"'",L12,"'",F12,"'",L12,"'",G12,"'",L12,"'",H12,"'",L12,"'",I12,"'",")")</f>
        <v>('10.10.2017', '11', '4 th round', 'SPA', 'Tuesday', 'Away', '1:3', '', '7')</v>
      </c>
      <c r="W12" t="str">
        <f t="shared" si="0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</v>
      </c>
    </row>
    <row r="13" spans="1:23" x14ac:dyDescent="0.25">
      <c r="A13" s="2">
        <v>43021</v>
      </c>
      <c r="B13" s="1">
        <v>12</v>
      </c>
      <c r="C13" s="1" t="s">
        <v>100</v>
      </c>
      <c r="D13" s="1" t="s">
        <v>10</v>
      </c>
      <c r="E13" s="1" t="s">
        <v>55</v>
      </c>
      <c r="F13" s="1" t="s">
        <v>155</v>
      </c>
      <c r="G13" s="11" t="s">
        <v>184</v>
      </c>
      <c r="H13" s="3"/>
      <c r="I13" s="1">
        <v>7</v>
      </c>
      <c r="L13" t="s">
        <v>154</v>
      </c>
      <c r="M13" t="str">
        <f>CONCATENATE("(","'",TEXT(A13,"dd.m.rrrrr"),"'",L13,"'",B13,"'",L13,"'",C13,"'",L13,"'",D13,"'",L13,"'",E13,"'",L13,"'",F13,"'",L13,"'",G13,"'",L13,"'",H13,"'",L13,"'",I13,"'",")")</f>
        <v>('13.10.2017', '12', '12 th round', 'VIT', 'Friday', 'Away', '3:7', '', '7')</v>
      </c>
      <c r="W13" t="str">
        <f t="shared" si="0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</v>
      </c>
    </row>
    <row r="14" spans="1:23" x14ac:dyDescent="0.25">
      <c r="A14" s="2">
        <v>43023</v>
      </c>
      <c r="B14" s="1">
        <v>13</v>
      </c>
      <c r="C14" s="1" t="s">
        <v>101</v>
      </c>
      <c r="D14" s="1" t="s">
        <v>11</v>
      </c>
      <c r="E14" s="1" t="s">
        <v>57</v>
      </c>
      <c r="F14" s="1" t="s">
        <v>157</v>
      </c>
      <c r="G14" s="1" t="s">
        <v>14</v>
      </c>
      <c r="H14" s="3"/>
      <c r="I14" s="4">
        <v>9</v>
      </c>
      <c r="L14" t="s">
        <v>154</v>
      </c>
      <c r="M14" t="str">
        <f>CONCATENATE("(","'",TEXT(A14,"dd.m.rrrrr"),"'",L14,"'",B14,"'",L14,"'",C14,"'",L14,"'",D14,"'",L14,"'",E14,"'",L14,"'",F14,"'",L14,"'",G14,"'",L14,"'",H14,"'",L14,"'",I14,"'",")")</f>
        <v>('15.10.2017', '13', '13 th round', 'BRN', 'Sunday', 'Home', '4:3sn', '', '9')</v>
      </c>
      <c r="W14" t="str">
        <f t="shared" si="0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</v>
      </c>
    </row>
    <row r="15" spans="1:23" x14ac:dyDescent="0.25">
      <c r="A15" s="2">
        <v>43025</v>
      </c>
      <c r="B15" s="1">
        <v>14</v>
      </c>
      <c r="C15" s="1" t="s">
        <v>102</v>
      </c>
      <c r="D15" s="1" t="s">
        <v>0</v>
      </c>
      <c r="E15" s="1" t="s">
        <v>59</v>
      </c>
      <c r="F15" s="1" t="s">
        <v>157</v>
      </c>
      <c r="G15" s="1" t="s">
        <v>15</v>
      </c>
      <c r="H15" s="3"/>
      <c r="I15" s="1">
        <v>11</v>
      </c>
      <c r="L15" t="s">
        <v>154</v>
      </c>
      <c r="M15" t="str">
        <f>CONCATENATE("(","'",TEXT(A15,"dd.m.rrrrr"),"'",L15,"'",B15,"'",L15,"'",C15,"'",L15,"'",D15,"'",L15,"'",E15,"'",L15,"'",F15,"'",L15,"'",G15,"'",L15,"'",H15,"'",L15,"'",I15,"'",")")</f>
        <v>('17.10.2017', '14', '14 th round', 'PLZ', 'Tuesday', 'Home', '2:1pp', '', '11')</v>
      </c>
      <c r="W15" t="str">
        <f t="shared" si="0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</v>
      </c>
    </row>
    <row r="16" spans="1:23" x14ac:dyDescent="0.25">
      <c r="A16" s="2">
        <v>43028</v>
      </c>
      <c r="B16" s="1">
        <v>15</v>
      </c>
      <c r="C16" s="1" t="s">
        <v>103</v>
      </c>
      <c r="D16" s="1" t="s">
        <v>1</v>
      </c>
      <c r="E16" s="1" t="s">
        <v>55</v>
      </c>
      <c r="F16" s="1" t="s">
        <v>157</v>
      </c>
      <c r="G16" s="1" t="s">
        <v>16</v>
      </c>
      <c r="H16" s="3"/>
      <c r="I16" s="1">
        <v>12</v>
      </c>
      <c r="L16" t="s">
        <v>154</v>
      </c>
      <c r="M16" t="str">
        <f>CONCATENATE("(","'",TEXT(A16,"dd.m.rrrrr"),"'",L16,"'",B16,"'",L16,"'",C16,"'",L16,"'",D16,"'",L16,"'",E16,"'",L16,"'",F16,"'",L16,"'",G16,"'",L16,"'",H16,"'",L16,"'",I16,"'",")")</f>
        <v>('20.10.2017', '15', '15 th round', 'LIB', 'Friday', 'Home', '2:3sn', '', '12')</v>
      </c>
      <c r="W16" t="str">
        <f t="shared" si="0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</v>
      </c>
    </row>
    <row r="17" spans="1:23" x14ac:dyDescent="0.25">
      <c r="A17" s="2">
        <v>43030</v>
      </c>
      <c r="B17" s="1">
        <v>16</v>
      </c>
      <c r="C17" s="1" t="s">
        <v>104</v>
      </c>
      <c r="D17" s="1" t="s">
        <v>2</v>
      </c>
      <c r="E17" s="1" t="s">
        <v>57</v>
      </c>
      <c r="F17" s="1" t="s">
        <v>155</v>
      </c>
      <c r="G17" s="1" t="s">
        <v>17</v>
      </c>
      <c r="H17" s="3"/>
      <c r="I17" s="1">
        <v>14</v>
      </c>
      <c r="L17" t="s">
        <v>154</v>
      </c>
      <c r="M17" t="str">
        <f>CONCATENATE("(","'",TEXT(A17,"dd.m.rrrrr"),"'",L17,"'",B17,"'",L17,"'",C17,"'",L17,"'",D17,"'",L17,"'",E17,"'",L17,"'",F17,"'",L17,"'",G17,"'",L17,"'",H17,"'",L17,"'",I17,"'",")")</f>
        <v>('22.10.2017', '16', '16 th round', 'HRK', 'Sunday', 'Away', '5:4sn', '', '14')</v>
      </c>
      <c r="W17" t="str">
        <f t="shared" si="0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</v>
      </c>
    </row>
    <row r="18" spans="1:23" x14ac:dyDescent="0.25">
      <c r="A18" s="2">
        <v>43035</v>
      </c>
      <c r="B18" s="1">
        <v>17</v>
      </c>
      <c r="C18" s="1" t="s">
        <v>105</v>
      </c>
      <c r="D18" s="1" t="s">
        <v>3</v>
      </c>
      <c r="E18" s="1" t="s">
        <v>55</v>
      </c>
      <c r="F18" s="1" t="s">
        <v>157</v>
      </c>
      <c r="G18" s="11" t="s">
        <v>189</v>
      </c>
      <c r="H18" s="3"/>
      <c r="I18" s="1">
        <v>17</v>
      </c>
      <c r="L18" t="s">
        <v>154</v>
      </c>
      <c r="M18" t="str">
        <f>CONCATENATE("(","'",TEXT(A18,"dd.m.rrrrr"),"'",L18,"'",B18,"'",L18,"'",C18,"'",L18,"'",D18,"'",L18,"'",E18,"'",L18,"'",F18,"'",L18,"'",G18,"'",L18,"'",H18,"'",L18,"'",I18,"'",")")</f>
        <v>('27.10.2017', '17', '17 th round', 'SPA', 'Friday', 'Home', '4:3', '', '17')</v>
      </c>
      <c r="W18" t="str">
        <f t="shared" si="0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</v>
      </c>
    </row>
    <row r="19" spans="1:23" x14ac:dyDescent="0.25">
      <c r="A19" s="2">
        <v>43037</v>
      </c>
      <c r="B19" s="1">
        <v>18</v>
      </c>
      <c r="C19" s="1" t="s">
        <v>106</v>
      </c>
      <c r="D19" s="1" t="s">
        <v>4</v>
      </c>
      <c r="E19" s="1" t="s">
        <v>57</v>
      </c>
      <c r="F19" s="1" t="s">
        <v>155</v>
      </c>
      <c r="G19" s="11" t="s">
        <v>179</v>
      </c>
      <c r="H19" s="3"/>
      <c r="I19" s="1">
        <v>20</v>
      </c>
      <c r="L19" t="s">
        <v>154</v>
      </c>
      <c r="M19" t="str">
        <f>CONCATENATE("(","'",TEXT(A19,"dd.m.rrrrr"),"'",L19,"'",B19,"'",L19,"'",C19,"'",L19,"'",D19,"'",L19,"'",E19,"'",L19,"'",F19,"'",L19,"'",G19,"'",L19,"'",H19,"'",L19,"'",I19,"'",")")</f>
        <v>('29.10.2017', '18', '18 th round', 'OLO', 'Sunday', 'Away', '3:1', '', '20')</v>
      </c>
      <c r="W19" t="str">
        <f t="shared" si="0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</v>
      </c>
    </row>
    <row r="20" spans="1:23" x14ac:dyDescent="0.25">
      <c r="A20" s="2">
        <v>43042</v>
      </c>
      <c r="B20" s="1">
        <v>19</v>
      </c>
      <c r="C20" s="1" t="s">
        <v>107</v>
      </c>
      <c r="D20" s="1" t="s">
        <v>5</v>
      </c>
      <c r="E20" s="1" t="s">
        <v>55</v>
      </c>
      <c r="F20" s="1" t="s">
        <v>157</v>
      </c>
      <c r="G20" s="11" t="s">
        <v>168</v>
      </c>
      <c r="H20" s="3"/>
      <c r="I20" s="1">
        <v>20</v>
      </c>
      <c r="L20" t="s">
        <v>154</v>
      </c>
      <c r="M20" t="str">
        <f>CONCATENATE("(","'",TEXT(A20,"dd.m.rrrrr"),"'",L20,"'",B20,"'",L20,"'",C20,"'",L20,"'",D20,"'",L20,"'",E20,"'",L20,"'",F20,"'",L20,"'",G20,"'",L20,"'",H20,"'",L20,"'",I20,"'",")")</f>
        <v>('03.11.2017', '19', '19 th round', 'ZLN', 'Friday', 'Home', '1:3', '', '20')</v>
      </c>
      <c r="W20" t="str">
        <f t="shared" si="0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</v>
      </c>
    </row>
    <row r="21" spans="1:23" x14ac:dyDescent="0.25">
      <c r="A21" s="2">
        <v>43044</v>
      </c>
      <c r="B21" s="1">
        <v>20</v>
      </c>
      <c r="C21" s="1" t="s">
        <v>108</v>
      </c>
      <c r="D21" s="1" t="s">
        <v>6</v>
      </c>
      <c r="E21" s="1" t="s">
        <v>57</v>
      </c>
      <c r="F21" s="1" t="s">
        <v>157</v>
      </c>
      <c r="G21" s="11" t="s">
        <v>174</v>
      </c>
      <c r="H21" s="3"/>
      <c r="I21" s="1">
        <v>20</v>
      </c>
      <c r="L21" t="s">
        <v>154</v>
      </c>
      <c r="M21" t="str">
        <f>CONCATENATE("(","'",TEXT(A21,"dd.m.rrrrr"),"'",L21,"'",B21,"'",L21,"'",C21,"'",L21,"'",D21,"'",L21,"'",E21,"'",L21,"'",F21,"'",L21,"'",G21,"'",L21,"'",H21,"'",L21,"'",I21,"'",")")</f>
        <v>('05.11.2017', '20', '20 th round', 'TRI', 'Sunday', 'Home', '2:3', '', '20')</v>
      </c>
      <c r="W21" t="str">
        <f t="shared" si="0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</v>
      </c>
    </row>
    <row r="22" spans="1:23" x14ac:dyDescent="0.25">
      <c r="A22" s="2">
        <v>43054</v>
      </c>
      <c r="B22" s="1">
        <v>21</v>
      </c>
      <c r="C22" s="1" t="s">
        <v>109</v>
      </c>
      <c r="D22" s="1" t="s">
        <v>7</v>
      </c>
      <c r="E22" s="1" t="s">
        <v>60</v>
      </c>
      <c r="F22" s="1" t="s">
        <v>157</v>
      </c>
      <c r="G22" s="11" t="s">
        <v>202</v>
      </c>
      <c r="H22" s="3"/>
      <c r="I22" s="1">
        <v>23</v>
      </c>
      <c r="L22" t="s">
        <v>154</v>
      </c>
      <c r="M22" t="str">
        <f>CONCATENATE("(","'",TEXT(A22,"dd.m.rrrrr"),"'",L22,"'",B22,"'",L22,"'",C22,"'",L22,"'",D22,"'",L22,"'",E22,"'",L22,"'",F22,"'",L22,"'",G22,"'",L22,"'",H22,"'",L22,"'",I22,"'",")")</f>
        <v>('15.11.2017', '21', '21 th round', 'MBO', 'Wednesday', 'Home', '6:3', '', '23')</v>
      </c>
      <c r="W22" t="str">
        <f t="shared" si="0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</v>
      </c>
    </row>
    <row r="23" spans="1:23" x14ac:dyDescent="0.25">
      <c r="A23" s="2">
        <v>43056</v>
      </c>
      <c r="B23" s="1">
        <v>22</v>
      </c>
      <c r="C23" s="1" t="s">
        <v>110</v>
      </c>
      <c r="D23" s="1" t="s">
        <v>8</v>
      </c>
      <c r="E23" s="1" t="s">
        <v>55</v>
      </c>
      <c r="F23" s="1" t="s">
        <v>155</v>
      </c>
      <c r="G23" s="11" t="s">
        <v>179</v>
      </c>
      <c r="H23" s="3"/>
      <c r="I23" s="1">
        <v>26</v>
      </c>
      <c r="L23" t="s">
        <v>154</v>
      </c>
      <c r="M23" t="str">
        <f>CONCATENATE("(","'",TEXT(A23,"dd.m.rrrrr"),"'",L23,"'",B23,"'",L23,"'",C23,"'",L23,"'",D23,"'",L23,"'",E23,"'",L23,"'",F23,"'",L23,"'",G23,"'",L23,"'",H23,"'",L23,"'",I23,"'",")")</f>
        <v>('17.11.2017', '22', '22 th round', 'CHO', 'Friday', 'Away', '3:1', '', '26')</v>
      </c>
      <c r="W23" t="str">
        <f t="shared" si="0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</v>
      </c>
    </row>
    <row r="24" spans="1:23" x14ac:dyDescent="0.25">
      <c r="A24" s="2">
        <v>43058</v>
      </c>
      <c r="B24" s="1">
        <v>23</v>
      </c>
      <c r="C24" s="1" t="s">
        <v>111</v>
      </c>
      <c r="D24" s="1" t="s">
        <v>12</v>
      </c>
      <c r="E24" s="1" t="s">
        <v>57</v>
      </c>
      <c r="F24" s="1" t="s">
        <v>157</v>
      </c>
      <c r="G24" s="11" t="s">
        <v>178</v>
      </c>
      <c r="H24" s="3"/>
      <c r="I24" s="1">
        <v>29</v>
      </c>
      <c r="L24" t="s">
        <v>154</v>
      </c>
      <c r="M24" t="str">
        <f>CONCATENATE("(","'",TEXT(A24,"dd.m.rrrrr"),"'",L24,"'",B24,"'",L24,"'",C24,"'",L24,"'",D24,"'",L24,"'",E24,"'",L24,"'",F24,"'",L24,"'",G24,"'",L24,"'",H24,"'",L24,"'",I24,"'",")")</f>
        <v>('19.11.2017', '23', '23 th round', 'JIH', 'Sunday', 'Home', '3:0', '', '29')</v>
      </c>
      <c r="W24" t="str">
        <f t="shared" si="0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</v>
      </c>
    </row>
    <row r="25" spans="1:23" x14ac:dyDescent="0.25">
      <c r="A25" s="2">
        <v>43060</v>
      </c>
      <c r="B25" s="1">
        <v>24</v>
      </c>
      <c r="C25" s="1" t="s">
        <v>112</v>
      </c>
      <c r="D25" s="1" t="s">
        <v>9</v>
      </c>
      <c r="E25" s="1" t="s">
        <v>59</v>
      </c>
      <c r="F25" s="1" t="s">
        <v>155</v>
      </c>
      <c r="G25" s="11" t="s">
        <v>165</v>
      </c>
      <c r="H25" s="3"/>
      <c r="I25" s="1">
        <v>29</v>
      </c>
      <c r="L25" t="s">
        <v>154</v>
      </c>
      <c r="M25" t="str">
        <f>CONCATENATE("(","'",TEXT(A25,"dd.m.rrrrr"),"'",L25,"'",B25,"'",L25,"'",C25,"'",L25,"'",D25,"'",L25,"'",E25,"'",L25,"'",F25,"'",L25,"'",G25,"'",L25,"'",H25,"'",L25,"'",I25,"'",")")</f>
        <v>('21.11.2017', '24', '24 th round', 'PAR', 'Tuesday', 'Away', '0:5', '', '29')</v>
      </c>
      <c r="W25" t="str">
        <f t="shared" si="0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</v>
      </c>
    </row>
    <row r="26" spans="1:23" x14ac:dyDescent="0.25">
      <c r="A26" s="2">
        <v>43063</v>
      </c>
      <c r="B26" s="1">
        <v>25</v>
      </c>
      <c r="C26" s="1" t="s">
        <v>113</v>
      </c>
      <c r="D26" s="1" t="s">
        <v>10</v>
      </c>
      <c r="E26" s="1" t="s">
        <v>55</v>
      </c>
      <c r="F26" s="1" t="s">
        <v>157</v>
      </c>
      <c r="G26" s="1" t="s">
        <v>15</v>
      </c>
      <c r="H26" s="3"/>
      <c r="I26" s="1">
        <v>31</v>
      </c>
      <c r="L26" t="s">
        <v>154</v>
      </c>
      <c r="M26" t="str">
        <f>CONCATENATE("(","'",TEXT(A26,"dd.m.rrrrr"),"'",L26,"'",B26,"'",L26,"'",C26,"'",L26,"'",D26,"'",L26,"'",E26,"'",L26,"'",F26,"'",L26,"'",G26,"'",L26,"'",H26,"'",L26,"'",I26,"'",")")</f>
        <v>('24.11.2017', '25', '25 th round', 'VIT', 'Friday', 'Home', '2:1pp', '', '31')</v>
      </c>
      <c r="W26" t="str">
        <f t="shared" si="0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</v>
      </c>
    </row>
    <row r="27" spans="1:23" x14ac:dyDescent="0.25">
      <c r="A27" s="2">
        <v>43065</v>
      </c>
      <c r="B27" s="1">
        <v>26</v>
      </c>
      <c r="C27" s="1" t="s">
        <v>114</v>
      </c>
      <c r="D27" s="1" t="s">
        <v>11</v>
      </c>
      <c r="E27" s="1" t="s">
        <v>57</v>
      </c>
      <c r="F27" s="1" t="s">
        <v>155</v>
      </c>
      <c r="G27" s="11" t="s">
        <v>177</v>
      </c>
      <c r="H27" s="3"/>
      <c r="I27" s="4">
        <v>31</v>
      </c>
      <c r="L27" t="s">
        <v>154</v>
      </c>
      <c r="M27" t="str">
        <f>CONCATENATE("(","'",TEXT(A27,"dd.m.rrrrr"),"'",L27,"'",B27,"'",L27,"'",C27,"'",L27,"'",D27,"'",L27,"'",E27,"'",L27,"'",F27,"'",L27,"'",G27,"'",L27,"'",H27,"'",L27,"'",I27,"'",")")</f>
        <v>('26.11.2017', '26', '26 th round', 'BRN', 'Sunday', 'Away', '2:6', '', '31')</v>
      </c>
      <c r="W27" t="str">
        <f t="shared" si="0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</v>
      </c>
    </row>
    <row r="28" spans="1:23" x14ac:dyDescent="0.25">
      <c r="A28" s="2">
        <v>43070</v>
      </c>
      <c r="B28" s="1">
        <v>27</v>
      </c>
      <c r="C28" s="1" t="s">
        <v>115</v>
      </c>
      <c r="D28" s="1" t="s">
        <v>0</v>
      </c>
      <c r="E28" s="1" t="s">
        <v>55</v>
      </c>
      <c r="F28" s="1" t="s">
        <v>155</v>
      </c>
      <c r="G28" s="11" t="s">
        <v>160</v>
      </c>
      <c r="H28" s="3"/>
      <c r="I28" s="1">
        <v>31</v>
      </c>
      <c r="L28" t="s">
        <v>154</v>
      </c>
      <c r="M28" t="str">
        <f>CONCATENATE("(","'",TEXT(A28,"dd.m.rrrrr"),"'",L28,"'",B28,"'",L28,"'",C28,"'",L28,"'",D28,"'",L28,"'",E28,"'",L28,"'",F28,"'",L28,"'",G28,"'",L28,"'",H28,"'",L28,"'",I28,"'",")")</f>
        <v>('01.12.2017', '27', '27 th round', 'PLZ', 'Friday', 'Away', '1:5', '', '31')</v>
      </c>
      <c r="W28" t="str">
        <f t="shared" si="0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</v>
      </c>
    </row>
    <row r="29" spans="1:23" x14ac:dyDescent="0.25">
      <c r="A29" s="2">
        <v>43072</v>
      </c>
      <c r="B29" s="1">
        <v>28</v>
      </c>
      <c r="C29" s="1" t="s">
        <v>116</v>
      </c>
      <c r="D29" s="1" t="s">
        <v>1</v>
      </c>
      <c r="E29" s="1" t="s">
        <v>57</v>
      </c>
      <c r="F29" s="1" t="s">
        <v>155</v>
      </c>
      <c r="G29" s="1" t="s">
        <v>18</v>
      </c>
      <c r="H29" s="3"/>
      <c r="I29" s="1">
        <v>32</v>
      </c>
      <c r="L29" t="s">
        <v>154</v>
      </c>
      <c r="M29" t="str">
        <f>CONCATENATE("(","'",TEXT(A29,"dd.m.rrrrr"),"'",L29,"'",B29,"'",L29,"'",C29,"'",L29,"'",D29,"'",L29,"'",E29,"'",L29,"'",F29,"'",L29,"'",G29,"'",L29,"'",H29,"'",L29,"'",I29,"'",")")</f>
        <v>('03.12.2017', '28', '28 th round', 'LIB', 'Sunday', 'Away', '3:4pp', '', '32')</v>
      </c>
      <c r="W29" t="str">
        <f t="shared" si="0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</v>
      </c>
    </row>
    <row r="30" spans="1:23" x14ac:dyDescent="0.25">
      <c r="A30" s="2">
        <v>43077</v>
      </c>
      <c r="B30" s="1">
        <v>29</v>
      </c>
      <c r="C30" s="1" t="s">
        <v>117</v>
      </c>
      <c r="D30" s="1" t="s">
        <v>2</v>
      </c>
      <c r="E30" s="1" t="s">
        <v>55</v>
      </c>
      <c r="F30" s="1" t="s">
        <v>157</v>
      </c>
      <c r="G30" s="11" t="s">
        <v>181</v>
      </c>
      <c r="H30" s="3"/>
      <c r="I30" s="1">
        <v>32</v>
      </c>
      <c r="L30" t="s">
        <v>154</v>
      </c>
      <c r="M30" t="str">
        <f>CONCATENATE("(","'",TEXT(A30,"dd.m.rrrrr"),"'",L30,"'",B30,"'",L30,"'",C30,"'",L30,"'",D30,"'",L30,"'",E30,"'",L30,"'",F30,"'",L30,"'",G30,"'",L30,"'",H30,"'",L30,"'",I30,"'",")")</f>
        <v>('08.12.2017', '29', '29 th round', 'HRK', 'Friday', 'Home', '3:4', '', '32')</v>
      </c>
      <c r="W30" t="str">
        <f t="shared" si="0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</v>
      </c>
    </row>
    <row r="31" spans="1:23" x14ac:dyDescent="0.25">
      <c r="A31" s="2">
        <v>43079</v>
      </c>
      <c r="B31" s="1">
        <v>30</v>
      </c>
      <c r="C31" s="1" t="s">
        <v>118</v>
      </c>
      <c r="D31" s="1" t="s">
        <v>3</v>
      </c>
      <c r="E31" s="1" t="s">
        <v>57</v>
      </c>
      <c r="F31" s="1" t="s">
        <v>155</v>
      </c>
      <c r="G31" s="11" t="s">
        <v>202</v>
      </c>
      <c r="H31" s="3"/>
      <c r="I31" s="1">
        <v>35</v>
      </c>
      <c r="L31" t="s">
        <v>154</v>
      </c>
      <c r="M31" t="str">
        <f>CONCATENATE("(","'",TEXT(A31,"dd.m.rrrrr"),"'",L31,"'",B31,"'",L31,"'",C31,"'",L31,"'",D31,"'",L31,"'",E31,"'",L31,"'",F31,"'",L31,"'",G31,"'",L31,"'",H31,"'",L31,"'",I31,"'",")")</f>
        <v>('10.12.2017', '30', '30 th round', 'SPA', 'Sunday', 'Away', '6:3', '', '35')</v>
      </c>
      <c r="W31" t="str">
        <f t="shared" si="0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</v>
      </c>
    </row>
    <row r="32" spans="1:23" x14ac:dyDescent="0.25">
      <c r="A32" s="2">
        <v>43089</v>
      </c>
      <c r="B32" s="1">
        <v>31</v>
      </c>
      <c r="C32" s="1" t="s">
        <v>119</v>
      </c>
      <c r="D32" s="1" t="s">
        <v>4</v>
      </c>
      <c r="E32" s="1" t="s">
        <v>60</v>
      </c>
      <c r="F32" s="1" t="s">
        <v>157</v>
      </c>
      <c r="G32" s="1" t="s">
        <v>16</v>
      </c>
      <c r="H32" s="3"/>
      <c r="I32" s="1">
        <v>36</v>
      </c>
      <c r="L32" t="s">
        <v>154</v>
      </c>
      <c r="M32" t="str">
        <f>CONCATENATE("(","'",TEXT(A32,"dd.m.rrrrr"),"'",L32,"'",B32,"'",L32,"'",C32,"'",L32,"'",D32,"'",L32,"'",E32,"'",L32,"'",F32,"'",L32,"'",G32,"'",L32,"'",H32,"'",L32,"'",I32,"'",")")</f>
        <v>('20.12.2017', '31', '31 th round', 'OLO', 'Wednesday', 'Home', '2:3sn', '', '36')</v>
      </c>
      <c r="W32" t="str">
        <f t="shared" si="0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</v>
      </c>
    </row>
    <row r="33" spans="1:23" x14ac:dyDescent="0.25">
      <c r="A33" s="2">
        <v>43091</v>
      </c>
      <c r="B33" s="1">
        <v>32</v>
      </c>
      <c r="C33" s="1" t="s">
        <v>120</v>
      </c>
      <c r="D33" s="1" t="s">
        <v>5</v>
      </c>
      <c r="E33" s="1" t="s">
        <v>55</v>
      </c>
      <c r="F33" s="1" t="s">
        <v>155</v>
      </c>
      <c r="G33" s="11" t="s">
        <v>188</v>
      </c>
      <c r="H33" s="3"/>
      <c r="I33" s="1">
        <v>39</v>
      </c>
      <c r="L33" t="s">
        <v>154</v>
      </c>
      <c r="M33" t="str">
        <f>CONCATENATE("(","'",TEXT(A33,"dd.m.rrrrr"),"'",L33,"'",B33,"'",L33,"'",C33,"'",L33,"'",D33,"'",L33,"'",E33,"'",L33,"'",F33,"'",L33,"'",G33,"'",L33,"'",H33,"'",L33,"'",I33,"'",")")</f>
        <v>('22.12.2017', '32', '32 th round', 'ZLN', 'Friday', 'Away', '4:2', '', '39')</v>
      </c>
      <c r="W33" t="str">
        <f t="shared" si="0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</v>
      </c>
    </row>
    <row r="34" spans="1:23" x14ac:dyDescent="0.25">
      <c r="A34" s="2">
        <v>43095</v>
      </c>
      <c r="B34" s="1">
        <v>33</v>
      </c>
      <c r="C34" s="1" t="s">
        <v>121</v>
      </c>
      <c r="D34" s="1" t="s">
        <v>6</v>
      </c>
      <c r="E34" s="1" t="s">
        <v>59</v>
      </c>
      <c r="F34" s="1" t="s">
        <v>157</v>
      </c>
      <c r="G34" s="11" t="s">
        <v>176</v>
      </c>
      <c r="H34" s="3"/>
      <c r="I34" s="1">
        <v>39</v>
      </c>
      <c r="L34" t="s">
        <v>154</v>
      </c>
      <c r="M34" t="str">
        <f>CONCATENATE("(","'",TEXT(A34,"dd.m.rrrrr"),"'",L34,"'",B34,"'",L34,"'",C34,"'",L34,"'",D34,"'",L34,"'",E34,"'",L34,"'",F34,"'",L34,"'",G34,"'",L34,"'",H34,"'",L34,"'",I34,"'",")")</f>
        <v>('26.12.2017', '33', '33 th round', 'TRI', 'Tuesday', 'Home', '2:5', '', '39')</v>
      </c>
      <c r="W34" t="str">
        <f t="shared" si="0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</v>
      </c>
    </row>
    <row r="35" spans="1:23" x14ac:dyDescent="0.25">
      <c r="A35" s="2">
        <v>43097</v>
      </c>
      <c r="B35" s="1">
        <v>34</v>
      </c>
      <c r="C35" s="1" t="s">
        <v>122</v>
      </c>
      <c r="D35" s="1" t="s">
        <v>7</v>
      </c>
      <c r="E35" s="1" t="s">
        <v>61</v>
      </c>
      <c r="F35" s="1" t="s">
        <v>155</v>
      </c>
      <c r="G35" s="11" t="s">
        <v>172</v>
      </c>
      <c r="H35" s="3"/>
      <c r="I35" s="1">
        <v>42</v>
      </c>
      <c r="L35" t="s">
        <v>154</v>
      </c>
      <c r="M35" t="str">
        <f>CONCATENATE("(","'",TEXT(A35,"dd.m.rrrrr"),"'",L35,"'",B35,"'",L35,"'",C35,"'",L35,"'",D35,"'",L35,"'",E35,"'",L35,"'",F35,"'",L35,"'",G35,"'",L35,"'",H35,"'",L35,"'",I35,"'",")")</f>
        <v>('28.12.2017', '34', '34 th round', 'MBO', 'Thursday', 'Away', '2:0', '', '42')</v>
      </c>
      <c r="W35" t="str">
        <f t="shared" si="0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</v>
      </c>
    </row>
    <row r="36" spans="1:23" x14ac:dyDescent="0.25">
      <c r="A36" s="2">
        <v>43099</v>
      </c>
      <c r="B36" s="1">
        <v>35</v>
      </c>
      <c r="C36" s="1" t="s">
        <v>123</v>
      </c>
      <c r="D36" s="1" t="s">
        <v>8</v>
      </c>
      <c r="E36" s="1" t="s">
        <v>56</v>
      </c>
      <c r="F36" s="1" t="s">
        <v>157</v>
      </c>
      <c r="G36" s="1" t="s">
        <v>16</v>
      </c>
      <c r="H36" s="3"/>
      <c r="I36" s="1">
        <v>43</v>
      </c>
      <c r="L36" t="s">
        <v>154</v>
      </c>
      <c r="M36" t="str">
        <f>CONCATENATE("(","'",TEXT(A36,"dd.m.rrrrr"),"'",L36,"'",B36,"'",L36,"'",C36,"'",L36,"'",D36,"'",L36,"'",E36,"'",L36,"'",F36,"'",L36,"'",G36,"'",L36,"'",H36,"'",L36,"'",I36,"'",")")</f>
        <v>('30.12.2017', '35', '35 th round', 'CHO', 'Saturday', 'Home', '2:3sn', '', '43')</v>
      </c>
      <c r="W36" t="str">
        <f t="shared" si="0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</v>
      </c>
    </row>
    <row r="37" spans="1:23" x14ac:dyDescent="0.25">
      <c r="A37" s="2">
        <v>43103</v>
      </c>
      <c r="B37" s="1">
        <v>36</v>
      </c>
      <c r="C37" s="1" t="s">
        <v>124</v>
      </c>
      <c r="D37" s="1" t="s">
        <v>12</v>
      </c>
      <c r="E37" s="1" t="s">
        <v>60</v>
      </c>
      <c r="F37" s="1" t="s">
        <v>155</v>
      </c>
      <c r="G37" s="11" t="s">
        <v>190</v>
      </c>
      <c r="H37" s="3"/>
      <c r="I37" s="1">
        <v>43</v>
      </c>
      <c r="L37" t="s">
        <v>154</v>
      </c>
      <c r="M37" t="str">
        <f>CONCATENATE("(","'",TEXT(A37,"dd.m.rrrrr"),"'",L37,"'",B37,"'",L37,"'",C37,"'",L37,"'",D37,"'",L37,"'",E37,"'",L37,"'",F37,"'",L37,"'",G37,"'",L37,"'",H37,"'",L37,"'",I37,"'",")")</f>
        <v>('03.1.2018', '36', '36 th round', 'JIH', 'Wednesday', 'Away', '4:5', '', '43')</v>
      </c>
      <c r="W37" t="str">
        <f t="shared" si="0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</v>
      </c>
    </row>
    <row r="38" spans="1:23" x14ac:dyDescent="0.25">
      <c r="A38" s="2">
        <v>43105</v>
      </c>
      <c r="B38" s="1">
        <v>37</v>
      </c>
      <c r="C38" s="1" t="s">
        <v>125</v>
      </c>
      <c r="D38" s="1" t="s">
        <v>9</v>
      </c>
      <c r="E38" s="1" t="s">
        <v>55</v>
      </c>
      <c r="F38" s="1" t="s">
        <v>157</v>
      </c>
      <c r="G38" s="11" t="s">
        <v>167</v>
      </c>
      <c r="H38" s="3"/>
      <c r="I38" s="1">
        <v>43</v>
      </c>
      <c r="L38" t="s">
        <v>154</v>
      </c>
      <c r="M38" t="str">
        <f>CONCATENATE("(","'",TEXT(A38,"dd.m.rrrrr"),"'",L38,"'",B38,"'",L38,"'",C38,"'",L38,"'",D38,"'",L38,"'",E38,"'",L38,"'",F38,"'",L38,"'",G38,"'",L38,"'",H38,"'",L38,"'",I38,"'",")")</f>
        <v>('05.1.2018', '37', '37 th round', 'PAR', 'Friday', 'Home', '1:2', '', '43')</v>
      </c>
      <c r="W38" t="str">
        <f t="shared" si="0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</v>
      </c>
    </row>
    <row r="39" spans="1:23" x14ac:dyDescent="0.25">
      <c r="A39" s="2">
        <v>43107</v>
      </c>
      <c r="B39" s="1">
        <v>38</v>
      </c>
      <c r="C39" s="1" t="s">
        <v>126</v>
      </c>
      <c r="D39" s="1" t="s">
        <v>10</v>
      </c>
      <c r="E39" s="1" t="s">
        <v>57</v>
      </c>
      <c r="F39" s="1" t="s">
        <v>155</v>
      </c>
      <c r="G39" s="11" t="s">
        <v>183</v>
      </c>
      <c r="H39" s="3"/>
      <c r="I39" s="1">
        <v>43</v>
      </c>
      <c r="L39" t="s">
        <v>154</v>
      </c>
      <c r="M39" t="str">
        <f>CONCATENATE("(","'",TEXT(A39,"dd.m.rrrrr"),"'",L39,"'",B39,"'",L39,"'",C39,"'",L39,"'",D39,"'",L39,"'",E39,"'",L39,"'",F39,"'",L39,"'",G39,"'",L39,"'",H39,"'",L39,"'",I39,"'",")")</f>
        <v>('07.1.2018', '38', '38 th round', 'VIT', 'Sunday', 'Away', '3:6', '', '43')</v>
      </c>
      <c r="W39" t="str">
        <f t="shared" si="0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</v>
      </c>
    </row>
    <row r="40" spans="1:23" x14ac:dyDescent="0.25">
      <c r="A40" s="2">
        <v>43112</v>
      </c>
      <c r="B40" s="1">
        <v>39</v>
      </c>
      <c r="C40" s="1" t="s">
        <v>127</v>
      </c>
      <c r="D40" s="1" t="s">
        <v>11</v>
      </c>
      <c r="E40" s="1" t="s">
        <v>55</v>
      </c>
      <c r="F40" s="1" t="s">
        <v>157</v>
      </c>
      <c r="G40" s="11" t="s">
        <v>169</v>
      </c>
      <c r="H40" s="3"/>
      <c r="I40" s="4">
        <v>43</v>
      </c>
      <c r="L40" t="s">
        <v>154</v>
      </c>
      <c r="M40" t="str">
        <f>CONCATENATE("(","'",TEXT(A40,"dd.m.rrrrr"),"'",L40,"'",B40,"'",L40,"'",C40,"'",L40,"'",D40,"'",L40,"'",E40,"'",L40,"'",F40,"'",L40,"'",G40,"'",L40,"'",H40,"'",L40,"'",I40,"'",")")</f>
        <v>('12.1.2018', '39', '39 th round', 'BRN', 'Friday', 'Home', '1:4', '', '43')</v>
      </c>
      <c r="W40" t="str">
        <f t="shared" si="0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</v>
      </c>
    </row>
    <row r="41" spans="1:23" x14ac:dyDescent="0.25">
      <c r="A41" s="2">
        <v>43114</v>
      </c>
      <c r="B41" s="1">
        <v>40</v>
      </c>
      <c r="C41" s="1" t="s">
        <v>128</v>
      </c>
      <c r="D41" s="1" t="s">
        <v>0</v>
      </c>
      <c r="E41" s="1" t="s">
        <v>57</v>
      </c>
      <c r="F41" s="1" t="s">
        <v>157</v>
      </c>
      <c r="G41" s="11" t="s">
        <v>190</v>
      </c>
      <c r="H41" s="3"/>
      <c r="I41" s="1">
        <v>43</v>
      </c>
      <c r="L41" t="s">
        <v>154</v>
      </c>
      <c r="M41" t="str">
        <f>CONCATENATE("(","'",TEXT(A41,"dd.m.rrrrr"),"'",L41,"'",B41,"'",L41,"'",C41,"'",L41,"'",D41,"'",L41,"'",E41,"'",L41,"'",F41,"'",L41,"'",G41,"'",L41,"'",H41,"'",L41,"'",I41,"'",")")</f>
        <v>('14.1.2018', '40', '40 th round', 'PLZ', 'Sunday', 'Home', '4:5', '', '43')</v>
      </c>
      <c r="W41" t="str">
        <f t="shared" si="0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</v>
      </c>
    </row>
    <row r="42" spans="1:23" x14ac:dyDescent="0.25">
      <c r="A42" s="2">
        <v>43119</v>
      </c>
      <c r="B42" s="1">
        <v>41</v>
      </c>
      <c r="C42" s="1" t="s">
        <v>129</v>
      </c>
      <c r="D42" s="1" t="s">
        <v>1</v>
      </c>
      <c r="E42" s="1" t="s">
        <v>55</v>
      </c>
      <c r="F42" s="1" t="s">
        <v>155</v>
      </c>
      <c r="G42" s="11" t="s">
        <v>160</v>
      </c>
      <c r="H42" s="3"/>
      <c r="I42" s="1">
        <v>43</v>
      </c>
      <c r="L42" t="s">
        <v>154</v>
      </c>
      <c r="M42" t="str">
        <f>CONCATENATE("(","'",TEXT(A42,"dd.m.rrrrr"),"'",L42,"'",B42,"'",L42,"'",C42,"'",L42,"'",D42,"'",L42,"'",E42,"'",L42,"'",F42,"'",L42,"'",G42,"'",L42,"'",H42,"'",L42,"'",I42,"'",")")</f>
        <v>('19.1.2018', '41', '41 th round', 'LIB', 'Friday', 'Away', '1:5', '', '43')</v>
      </c>
      <c r="W42" t="str">
        <f t="shared" si="0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</v>
      </c>
    </row>
    <row r="43" spans="1:23" x14ac:dyDescent="0.25">
      <c r="A43" s="2">
        <v>43121</v>
      </c>
      <c r="B43" s="1">
        <v>42</v>
      </c>
      <c r="C43" s="1" t="s">
        <v>130</v>
      </c>
      <c r="D43" s="1" t="s">
        <v>2</v>
      </c>
      <c r="E43" s="1" t="s">
        <v>57</v>
      </c>
      <c r="F43" s="1" t="s">
        <v>155</v>
      </c>
      <c r="G43" s="11" t="s">
        <v>184</v>
      </c>
      <c r="H43" s="3"/>
      <c r="I43" s="1">
        <v>43</v>
      </c>
      <c r="L43" t="s">
        <v>154</v>
      </c>
      <c r="M43" t="str">
        <f>CONCATENATE("(","'",TEXT(A43,"dd.m.rrrrr"),"'",L43,"'",B43,"'",L43,"'",C43,"'",L43,"'",D43,"'",L43,"'",E43,"'",L43,"'",F43,"'",L43,"'",G43,"'",L43,"'",H43,"'",L43,"'",I43,"'",")")</f>
        <v>('21.1.2018', '42', '42 th round', 'HRK', 'Sunday', 'Away', '3:7', '', '43')</v>
      </c>
      <c r="W43" t="str">
        <f t="shared" si="0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</v>
      </c>
    </row>
    <row r="44" spans="1:23" x14ac:dyDescent="0.25">
      <c r="A44" s="2">
        <v>43123</v>
      </c>
      <c r="B44" s="1">
        <v>43</v>
      </c>
      <c r="C44" s="1" t="s">
        <v>137</v>
      </c>
      <c r="D44" s="1" t="s">
        <v>12</v>
      </c>
      <c r="E44" s="1" t="s">
        <v>59</v>
      </c>
      <c r="F44" s="1" t="s">
        <v>157</v>
      </c>
      <c r="G44" s="11" t="s">
        <v>168</v>
      </c>
      <c r="H44" s="3"/>
      <c r="I44" s="1">
        <v>43</v>
      </c>
      <c r="L44" t="s">
        <v>154</v>
      </c>
      <c r="M44" t="str">
        <f>CONCATENATE("(","'",TEXT(A44,"dd.m.rrrrr"),"'",L44,"'",B44,"'",L44,"'",C44,"'",L44,"'",D44,"'",L44,"'",E44,"'",L44,"'",F44,"'",L44,"'",G44,"'",L44,"'",H44,"'",L44,"'",I44,"'",")")</f>
        <v>('23.1.2018', '43', '49 th round', 'JIH', 'Tuesday', 'Home', '1:3', '', '43')</v>
      </c>
      <c r="W44" t="str">
        <f t="shared" si="0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</v>
      </c>
    </row>
    <row r="45" spans="1:23" x14ac:dyDescent="0.25">
      <c r="A45" s="2">
        <v>43126</v>
      </c>
      <c r="B45" s="1">
        <v>44</v>
      </c>
      <c r="C45" s="1" t="s">
        <v>131</v>
      </c>
      <c r="D45" s="1" t="s">
        <v>3</v>
      </c>
      <c r="E45" s="1" t="s">
        <v>55</v>
      </c>
      <c r="F45" s="1" t="s">
        <v>157</v>
      </c>
      <c r="G45" s="11" t="s">
        <v>169</v>
      </c>
      <c r="H45" s="3"/>
      <c r="I45" s="1">
        <v>43</v>
      </c>
      <c r="L45" t="s">
        <v>154</v>
      </c>
      <c r="M45" t="str">
        <f>CONCATENATE("(","'",TEXT(A45,"dd.m.rrrrr"),"'",L45,"'",B45,"'",L45,"'",C45,"'",L45,"'",D45,"'",L45,"'",E45,"'",L45,"'",F45,"'",L45,"'",G45,"'",L45,"'",H45,"'",L45,"'",I45,"'",")")</f>
        <v>('26.1.2018', '44', '43 th round', 'SPA', 'Friday', 'Home', '1:4', '', '43')</v>
      </c>
      <c r="W45" t="str">
        <f t="shared" si="0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</v>
      </c>
    </row>
    <row r="46" spans="1:23" x14ac:dyDescent="0.25">
      <c r="A46" s="2">
        <v>43128</v>
      </c>
      <c r="B46" s="1">
        <v>45</v>
      </c>
      <c r="C46" s="1" t="s">
        <v>132</v>
      </c>
      <c r="D46" s="1" t="s">
        <v>4</v>
      </c>
      <c r="E46" s="1" t="s">
        <v>57</v>
      </c>
      <c r="F46" s="1" t="s">
        <v>155</v>
      </c>
      <c r="G46" s="11" t="s">
        <v>175</v>
      </c>
      <c r="H46" s="3"/>
      <c r="I46" s="1">
        <v>43</v>
      </c>
      <c r="L46" t="s">
        <v>154</v>
      </c>
      <c r="M46" t="str">
        <f>CONCATENATE("(","'",TEXT(A46,"dd.m.rrrrr"),"'",L46,"'",B46,"'",L46,"'",C46,"'",L46,"'",D46,"'",L46,"'",E46,"'",L46,"'",F46,"'",L46,"'",G46,"'",L46,"'",H46,"'",L46,"'",I46,"'",")")</f>
        <v>('28.1.2018', '45', '44 th round', 'OLO', 'Sunday', 'Away', '2:4', '', '43')</v>
      </c>
      <c r="W46" t="str">
        <f t="shared" si="0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</v>
      </c>
    </row>
    <row r="47" spans="1:23" x14ac:dyDescent="0.25">
      <c r="A47" s="2">
        <v>43130</v>
      </c>
      <c r="B47" s="1">
        <v>46</v>
      </c>
      <c r="C47" s="1" t="s">
        <v>133</v>
      </c>
      <c r="D47" s="1" t="s">
        <v>5</v>
      </c>
      <c r="E47" s="1" t="s">
        <v>59</v>
      </c>
      <c r="F47" s="1" t="s">
        <v>157</v>
      </c>
      <c r="G47" s="1" t="s">
        <v>18</v>
      </c>
      <c r="H47" s="3"/>
      <c r="I47" s="1">
        <v>44</v>
      </c>
      <c r="L47" t="s">
        <v>154</v>
      </c>
      <c r="M47" t="str">
        <f>CONCATENATE("(","'",TEXT(A47,"dd.m.rrrrr"),"'",L47,"'",B47,"'",L47,"'",C47,"'",L47,"'",D47,"'",L47,"'",E47,"'",L47,"'",F47,"'",L47,"'",G47,"'",L47,"'",H47,"'",L47,"'",I47,"'",")")</f>
        <v>('30.1.2018', '46', '45 th round', 'ZLN', 'Tuesday', 'Home', '3:4pp', '', '44')</v>
      </c>
      <c r="W47" t="str">
        <f t="shared" si="0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</v>
      </c>
    </row>
    <row r="48" spans="1:23" x14ac:dyDescent="0.25">
      <c r="A48" s="2">
        <v>43133</v>
      </c>
      <c r="B48" s="1">
        <v>47</v>
      </c>
      <c r="C48" s="1" t="s">
        <v>134</v>
      </c>
      <c r="D48" s="1" t="s">
        <v>6</v>
      </c>
      <c r="E48" s="1" t="s">
        <v>55</v>
      </c>
      <c r="F48" s="1" t="s">
        <v>155</v>
      </c>
      <c r="G48" s="11" t="s">
        <v>181</v>
      </c>
      <c r="H48" s="3"/>
      <c r="I48" s="1">
        <v>44</v>
      </c>
      <c r="L48" t="s">
        <v>154</v>
      </c>
      <c r="M48" t="str">
        <f>CONCATENATE("(","'",TEXT(A48,"dd.m.rrrrr"),"'",L48,"'",B48,"'",L48,"'",C48,"'",L48,"'",D48,"'",L48,"'",E48,"'",L48,"'",F48,"'",L48,"'",G48,"'",L48,"'",H48,"'",L48,"'",I48,"'",")")</f>
        <v>('02.2.2018', '47', '46 th round', 'TRI', 'Friday', 'Away', '3:4', '', '44')</v>
      </c>
      <c r="W48" t="str">
        <f t="shared" si="0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</v>
      </c>
    </row>
    <row r="49" spans="1:23" x14ac:dyDescent="0.25">
      <c r="A49" s="2">
        <v>43135</v>
      </c>
      <c r="B49" s="1">
        <v>48</v>
      </c>
      <c r="C49" s="1" t="s">
        <v>135</v>
      </c>
      <c r="D49" s="1" t="s">
        <v>7</v>
      </c>
      <c r="E49" s="1" t="s">
        <v>57</v>
      </c>
      <c r="F49" s="1" t="s">
        <v>157</v>
      </c>
      <c r="G49" s="1" t="s">
        <v>19</v>
      </c>
      <c r="H49" s="3"/>
      <c r="I49" s="1">
        <v>46</v>
      </c>
      <c r="L49" t="s">
        <v>154</v>
      </c>
      <c r="M49" t="str">
        <f>CONCATENATE("(","'",TEXT(A49,"dd.m.rrrrr"),"'",L49,"'",B49,"'",L49,"'",C49,"'",L49,"'",D49,"'",L49,"'",E49,"'",L49,"'",F49,"'",L49,"'",G49,"'",L49,"'",H49,"'",L49,"'",I49,"'",")")</f>
        <v>('04.2.2018', '48', '47 th round', 'MBO', 'Sunday', 'Home', '4:3pp', '', '46')</v>
      </c>
      <c r="W49" t="str">
        <f t="shared" si="0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</v>
      </c>
    </row>
    <row r="50" spans="1:23" x14ac:dyDescent="0.25">
      <c r="A50" s="2">
        <v>43137</v>
      </c>
      <c r="B50" s="1">
        <v>49</v>
      </c>
      <c r="C50" s="1" t="s">
        <v>136</v>
      </c>
      <c r="D50" s="1" t="s">
        <v>8</v>
      </c>
      <c r="E50" s="1" t="s">
        <v>59</v>
      </c>
      <c r="F50" s="1" t="s">
        <v>155</v>
      </c>
      <c r="G50" s="1" t="s">
        <v>14</v>
      </c>
      <c r="H50" s="3"/>
      <c r="I50" s="1">
        <v>48</v>
      </c>
      <c r="L50" t="s">
        <v>154</v>
      </c>
      <c r="M50" t="str">
        <f>CONCATENATE("(","'",TEXT(A50,"dd.m.rrrrr"),"'",L50,"'",B50,"'",L50,"'",C50,"'",L50,"'",D50,"'",L50,"'",E50,"'",L50,"'",F50,"'",L50,"'",G50,"'",L50,"'",H50,"'",L50,"'",I50,"'",")")</f>
        <v>('06.2.2018', '49', '48 th round', 'CHO', 'Tuesday', 'Away', '4:3sn', '', '48')</v>
      </c>
      <c r="W50" t="str">
        <f t="shared" si="0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</v>
      </c>
    </row>
    <row r="51" spans="1:23" x14ac:dyDescent="0.25">
      <c r="A51" s="2">
        <v>43159</v>
      </c>
      <c r="B51" s="1">
        <v>50</v>
      </c>
      <c r="C51" s="1" t="s">
        <v>138</v>
      </c>
      <c r="D51" s="1" t="s">
        <v>9</v>
      </c>
      <c r="E51" s="1" t="s">
        <v>60</v>
      </c>
      <c r="F51" s="1" t="s">
        <v>155</v>
      </c>
      <c r="G51" s="11" t="s">
        <v>167</v>
      </c>
      <c r="H51" s="3"/>
      <c r="I51" s="1">
        <v>48</v>
      </c>
      <c r="L51" t="s">
        <v>154</v>
      </c>
      <c r="M51" t="str">
        <f>CONCATENATE("(","'",TEXT(A51,"dd.m.rrrrr"),"'",L51,"'",B51,"'",L51,"'",C51,"'",L51,"'",D51,"'",L51,"'",E51,"'",L51,"'",F51,"'",L51,"'",G51,"'",L51,"'",H51,"'",L51,"'",I51,"'",")")</f>
        <v>('28.2.2018', '50', '50 th round', 'PAR', 'Wednesday', 'Away', '1:2', '', '48')</v>
      </c>
      <c r="W51" t="str">
        <f t="shared" si="0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</v>
      </c>
    </row>
    <row r="52" spans="1:23" x14ac:dyDescent="0.25">
      <c r="A52" s="2">
        <v>43161</v>
      </c>
      <c r="B52" s="1">
        <v>51</v>
      </c>
      <c r="C52" s="1" t="s">
        <v>139</v>
      </c>
      <c r="D52" s="1" t="s">
        <v>10</v>
      </c>
      <c r="E52" s="1" t="s">
        <v>55</v>
      </c>
      <c r="F52" s="1" t="s">
        <v>157</v>
      </c>
      <c r="G52" s="1" t="s">
        <v>15</v>
      </c>
      <c r="H52" s="3"/>
      <c r="I52" s="1">
        <v>50</v>
      </c>
      <c r="L52" t="s">
        <v>154</v>
      </c>
      <c r="M52" t="str">
        <f>CONCATENATE("(","'",TEXT(A52,"dd.m.rrrrr"),"'",L52,"'",B52,"'",L52,"'",C52,"'",L52,"'",D52,"'",L52,"'",E52,"'",L52,"'",F52,"'",L52,"'",G52,"'",L52,"'",H52,"'",L52,"'",I52,"'",")")</f>
        <v>('02.3.2018', '51', '51 th round', 'VIT', 'Friday', 'Home', '2:1pp', '', '50')</v>
      </c>
      <c r="W52" t="str">
        <f t="shared" si="0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</v>
      </c>
    </row>
    <row r="53" spans="1:23" x14ac:dyDescent="0.25">
      <c r="A53" s="2">
        <v>43163</v>
      </c>
      <c r="B53" s="1">
        <v>52</v>
      </c>
      <c r="C53" s="1" t="s">
        <v>140</v>
      </c>
      <c r="D53" s="1" t="s">
        <v>11</v>
      </c>
      <c r="E53" s="1" t="s">
        <v>57</v>
      </c>
      <c r="F53" s="1" t="s">
        <v>155</v>
      </c>
      <c r="G53" s="11" t="s">
        <v>164</v>
      </c>
      <c r="H53" s="3"/>
      <c r="I53" s="4">
        <v>50</v>
      </c>
      <c r="L53" t="s">
        <v>154</v>
      </c>
      <c r="M53" t="str">
        <f>CONCATENATE("(","'",TEXT(A53,"dd.m.rrrrr"),"'",L53,"'",B53,"'",L53,"'",C53,"'",L53,"'",D53,"'",L53,"'",E53,"'",L53,"'",F53,"'",L53,"'",G53,"'",L53,"'",H53,"'",L53,"'",I53,"'",")")</f>
        <v>('04.3.2018', '52', '52 th round', 'BRN', 'Sunday', 'Away', '0:4', '', '50')</v>
      </c>
      <c r="W53" t="str">
        <f t="shared" si="0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</v>
      </c>
    </row>
    <row r="54" spans="1:23" x14ac:dyDescent="0.25">
      <c r="A54" s="2">
        <v>43165</v>
      </c>
      <c r="B54" s="1">
        <v>53</v>
      </c>
      <c r="C54" s="1" t="s">
        <v>20</v>
      </c>
      <c r="D54" s="1" t="s">
        <v>8</v>
      </c>
      <c r="E54" s="1" t="s">
        <v>59</v>
      </c>
      <c r="F54" s="1" t="s">
        <v>155</v>
      </c>
      <c r="G54" s="1" t="s">
        <v>19</v>
      </c>
      <c r="H54" s="3"/>
      <c r="I54" s="1">
        <v>52</v>
      </c>
      <c r="L54" t="s">
        <v>154</v>
      </c>
      <c r="M54" t="str">
        <f>CONCATENATE("(","'",TEXT(A54,"dd.m.rrrrr"),"'",L54,"'",B54,"'",L54,"'",C54,"'",L54,"'",D54,"'",L54,"'",E54,"'",L54,"'",F54,"'",L54,"'",G54,"'",L54,"'",H54,"'",L54,"'",I54,"'",")")</f>
        <v>('06.3.2018', '53', 'Playout 1', 'CHO', 'Tuesday', 'Away', '4:3pp', '', '52')</v>
      </c>
      <c r="W54" t="str">
        <f t="shared" si="0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</v>
      </c>
    </row>
    <row r="55" spans="1:23" x14ac:dyDescent="0.25">
      <c r="A55" s="2">
        <v>43168</v>
      </c>
      <c r="B55" s="1">
        <v>54</v>
      </c>
      <c r="C55" s="1" t="s">
        <v>21</v>
      </c>
      <c r="D55" s="1" t="s">
        <v>7</v>
      </c>
      <c r="E55" s="1" t="s">
        <v>55</v>
      </c>
      <c r="F55" s="1" t="s">
        <v>157</v>
      </c>
      <c r="G55" s="1" t="s">
        <v>26</v>
      </c>
      <c r="H55" s="3"/>
      <c r="I55" s="1">
        <v>53</v>
      </c>
      <c r="L55" t="s">
        <v>154</v>
      </c>
      <c r="M55" t="str">
        <f>CONCATENATE("(","'",TEXT(A55,"dd.m.rrrrr"),"'",L55,"'",B55,"'",L55,"'",C55,"'",L55,"'",D55,"'",L55,"'",E55,"'",L55,"'",F55,"'",L55,"'",G55,"'",L55,"'",H55,"'",L55,"'",I55,"'",")")</f>
        <v>('09.3.2018', '54', 'Playout 2', 'MBO', 'Friday', 'Home', '2:3pp', '', '53')</v>
      </c>
      <c r="W55" t="str">
        <f t="shared" si="0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</v>
      </c>
    </row>
    <row r="56" spans="1:23" x14ac:dyDescent="0.25">
      <c r="A56" s="2">
        <v>43170</v>
      </c>
      <c r="B56" s="1">
        <v>55</v>
      </c>
      <c r="C56" s="1" t="s">
        <v>22</v>
      </c>
      <c r="D56" s="1" t="s">
        <v>12</v>
      </c>
      <c r="E56" s="1" t="s">
        <v>57</v>
      </c>
      <c r="F56" s="1" t="s">
        <v>157</v>
      </c>
      <c r="G56" s="11" t="s">
        <v>172</v>
      </c>
      <c r="H56" s="3"/>
      <c r="I56" s="1">
        <v>56</v>
      </c>
      <c r="L56" t="s">
        <v>154</v>
      </c>
      <c r="M56" t="str">
        <f>CONCATENATE("(","'",TEXT(A56,"dd.m.rrrrr"),"'",L56,"'",B56,"'",L56,"'",C56,"'",L56,"'",D56,"'",L56,"'",E56,"'",L56,"'",F56,"'",L56,"'",G56,"'",L56,"'",H56,"'",L56,"'",I56,"'",")")</f>
        <v>('11.3.2018', '55', 'Playout 3', 'JIH', 'Sunday', 'Home', '2:0', '', '56')</v>
      </c>
      <c r="W56" t="str">
        <f t="shared" si="0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</v>
      </c>
    </row>
    <row r="57" spans="1:23" x14ac:dyDescent="0.25">
      <c r="A57" s="2">
        <v>43175</v>
      </c>
      <c r="B57" s="1">
        <v>56</v>
      </c>
      <c r="C57" s="1" t="s">
        <v>23</v>
      </c>
      <c r="D57" s="1" t="s">
        <v>12</v>
      </c>
      <c r="E57" s="1" t="s">
        <v>55</v>
      </c>
      <c r="F57" s="1" t="s">
        <v>155</v>
      </c>
      <c r="G57" s="11" t="s">
        <v>166</v>
      </c>
      <c r="H57" s="3"/>
      <c r="I57" s="1">
        <v>59</v>
      </c>
      <c r="L57" t="s">
        <v>154</v>
      </c>
      <c r="M57" t="str">
        <f>CONCATENATE("(","'",TEXT(A57,"dd.m.rrrrr"),"'",L57,"'",B57,"'",L57,"'",C57,"'",L57,"'",D57,"'",L57,"'",E57,"'",L57,"'",F57,"'",L57,"'",G57,"'",L57,"'",H57,"'",L57,"'",I57,"'",")")</f>
        <v>('16.3.2018', '56', 'Playout 4', 'JIH', 'Friday', 'Away', '1:0', '', '59')</v>
      </c>
      <c r="W57" t="str">
        <f t="shared" si="0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</v>
      </c>
    </row>
    <row r="58" spans="1:23" x14ac:dyDescent="0.25">
      <c r="A58" s="2">
        <v>43177</v>
      </c>
      <c r="B58" s="1">
        <v>57</v>
      </c>
      <c r="C58" s="1" t="s">
        <v>24</v>
      </c>
      <c r="D58" s="1" t="s">
        <v>8</v>
      </c>
      <c r="E58" s="1" t="s">
        <v>57</v>
      </c>
      <c r="F58" s="1" t="s">
        <v>157</v>
      </c>
      <c r="G58" s="11" t="s">
        <v>168</v>
      </c>
      <c r="H58" s="3"/>
      <c r="I58" s="1">
        <v>59</v>
      </c>
      <c r="L58" t="s">
        <v>154</v>
      </c>
      <c r="M58" t="str">
        <f>CONCATENATE("(","'",TEXT(A58,"dd.m.rrrrr"),"'",L58,"'",B58,"'",L58,"'",C58,"'",L58,"'",D58,"'",L58,"'",E58,"'",L58,"'",F58,"'",L58,"'",G58,"'",L58,"'",H58,"'",L58,"'",I58,"'",")")</f>
        <v>('18.3.2018', '57', 'Playout 5', 'CHO', 'Sunday', 'Home', '1:3', '', '59')</v>
      </c>
      <c r="W58" t="str">
        <f t="shared" si="0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</v>
      </c>
    </row>
    <row r="59" spans="1:23" x14ac:dyDescent="0.25">
      <c r="A59" s="2">
        <v>43182</v>
      </c>
      <c r="B59" s="1">
        <v>58</v>
      </c>
      <c r="C59" s="1" t="s">
        <v>25</v>
      </c>
      <c r="D59" s="1" t="s">
        <v>7</v>
      </c>
      <c r="E59" s="1" t="s">
        <v>55</v>
      </c>
      <c r="F59" s="1" t="s">
        <v>155</v>
      </c>
      <c r="G59" s="11" t="s">
        <v>176</v>
      </c>
      <c r="H59" s="3"/>
      <c r="I59" s="1">
        <v>59</v>
      </c>
      <c r="L59" t="s">
        <v>154</v>
      </c>
      <c r="M59" t="str">
        <f>CONCATENATE("(","'",TEXT(A59,"dd.m.rrrrr"),"'",L59,"'",B59,"'",L59,"'",C59,"'",L59,"'",D59,"'",L59,"'",E59,"'",L59,"'",F59,"'",L59,"'",G59,"'",L59,"'",H59,"'",L59,"'",I59,"'",")")</f>
        <v>('23.3.2018', '58', 'Playout 6', 'MBO', 'Friday', 'Away', '2:5', '', '59')</v>
      </c>
      <c r="W59" t="str">
        <f t="shared" si="0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</v>
      </c>
    </row>
    <row r="60" spans="1:23" x14ac:dyDescent="0.25">
      <c r="A60" s="2">
        <v>43186</v>
      </c>
      <c r="B60" s="1">
        <v>59</v>
      </c>
      <c r="C60" s="1" t="s">
        <v>67</v>
      </c>
      <c r="D60" s="1" t="s">
        <v>27</v>
      </c>
      <c r="E60" s="1" t="s">
        <v>59</v>
      </c>
      <c r="F60" s="1" t="s">
        <v>157</v>
      </c>
      <c r="G60" s="11" t="s">
        <v>179</v>
      </c>
      <c r="H60" s="3"/>
      <c r="I60" s="1">
        <v>3</v>
      </c>
      <c r="L60" t="s">
        <v>154</v>
      </c>
      <c r="M60" t="str">
        <f>CONCATENATE("(","'",TEXT(A60,"dd.m.rrrrr"),"'",L60,"'",B60,"'",L60,"'",C60,"'",L60,"'",D60,"'",L60,"'",E60,"'",L60,"'",F60,"'",L60,"'",G60,"'",L60,"'",H60,"'",L60,"'",I60,"'",")")</f>
        <v>('27.3.2018', '59', 'Relegation round  1', 'KVA', 'Tuesday', 'Home', '3:1', '', '3')</v>
      </c>
      <c r="W60" t="str">
        <f t="shared" si="0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</v>
      </c>
    </row>
    <row r="61" spans="1:23" x14ac:dyDescent="0.25">
      <c r="A61" s="2">
        <v>43189</v>
      </c>
      <c r="B61" s="1">
        <v>60</v>
      </c>
      <c r="C61" s="1" t="s">
        <v>68</v>
      </c>
      <c r="D61" s="1" t="s">
        <v>28</v>
      </c>
      <c r="E61" s="1" t="s">
        <v>55</v>
      </c>
      <c r="F61" s="1" t="s">
        <v>155</v>
      </c>
      <c r="G61" s="11" t="s">
        <v>173</v>
      </c>
      <c r="H61" s="3"/>
      <c r="I61" s="1">
        <v>6</v>
      </c>
      <c r="L61" t="s">
        <v>154</v>
      </c>
      <c r="M61" t="str">
        <f>CONCATENATE("(","'",TEXT(A61,"dd.m.rrrrr"),"'",L61,"'",B61,"'",L61,"'",C61,"'",L61,"'",D61,"'",L61,"'",E61,"'",L61,"'",F61,"'",L61,"'",G61,"'",L61,"'",H61,"'",L61,"'",I61,"'",")")</f>
        <v>('30.3.2018', '60', 'Relegation round  2', 'KLA', 'Friday', 'Away', '2:1', '', '6')</v>
      </c>
      <c r="W61" t="str">
        <f t="shared" si="0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</v>
      </c>
    </row>
    <row r="62" spans="1:23" x14ac:dyDescent="0.25">
      <c r="A62" s="2">
        <v>43191</v>
      </c>
      <c r="B62" s="1">
        <v>61</v>
      </c>
      <c r="C62" s="1" t="s">
        <v>69</v>
      </c>
      <c r="D62" s="1" t="s">
        <v>12</v>
      </c>
      <c r="E62" s="1" t="s">
        <v>57</v>
      </c>
      <c r="F62" s="1" t="s">
        <v>155</v>
      </c>
      <c r="G62" s="11" t="s">
        <v>169</v>
      </c>
      <c r="H62" s="3"/>
      <c r="I62" s="1">
        <v>6</v>
      </c>
      <c r="L62" t="s">
        <v>154</v>
      </c>
      <c r="M62" t="str">
        <f>CONCATENATE("(","'",TEXT(A62,"dd.m.rrrrr"),"'",L62,"'",B62,"'",L62,"'",C62,"'",L62,"'",D62,"'",L62,"'",E62,"'",L62,"'",F62,"'",L62,"'",G62,"'",L62,"'",H62,"'",L62,"'",I62,"'",")")</f>
        <v>('01.4.2018', '61', 'Relegation round  3', 'JIH', 'Sunday', 'Away', '1:4', '', '6')</v>
      </c>
      <c r="W62" t="str">
        <f t="shared" si="0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</v>
      </c>
    </row>
    <row r="63" spans="1:23" x14ac:dyDescent="0.25">
      <c r="A63" s="2">
        <v>43193</v>
      </c>
      <c r="B63" s="1">
        <v>62</v>
      </c>
      <c r="C63" s="1" t="s">
        <v>70</v>
      </c>
      <c r="D63" s="1" t="s">
        <v>12</v>
      </c>
      <c r="E63" s="1" t="s">
        <v>59</v>
      </c>
      <c r="F63" s="1" t="s">
        <v>157</v>
      </c>
      <c r="G63" s="11" t="s">
        <v>175</v>
      </c>
      <c r="H63" s="3"/>
      <c r="I63" s="1">
        <v>6</v>
      </c>
      <c r="L63" t="s">
        <v>154</v>
      </c>
      <c r="M63" t="str">
        <f>CONCATENATE("(","'",TEXT(A63,"dd.m.rrrrr"),"'",L63,"'",B63,"'",L63,"'",C63,"'",L63,"'",D63,"'",L63,"'",E63,"'",L63,"'",F63,"'",L63,"'",G63,"'",L63,"'",H63,"'",L63,"'",I63,"'",")")</f>
        <v>('03.4.2018', '62', 'Relegation round  4', 'JIH', 'Tuesday', 'Home', '2:4', '', '6')</v>
      </c>
      <c r="W63" t="str">
        <f t="shared" si="0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</v>
      </c>
    </row>
    <row r="64" spans="1:23" x14ac:dyDescent="0.25">
      <c r="A64" s="2">
        <v>43196</v>
      </c>
      <c r="B64" s="1">
        <v>63</v>
      </c>
      <c r="C64" s="1" t="s">
        <v>71</v>
      </c>
      <c r="D64" s="1" t="s">
        <v>27</v>
      </c>
      <c r="E64" s="1" t="s">
        <v>55</v>
      </c>
      <c r="F64" s="1" t="s">
        <v>155</v>
      </c>
      <c r="G64" s="1" t="s">
        <v>19</v>
      </c>
      <c r="H64" s="3"/>
      <c r="I64" s="1">
        <v>8</v>
      </c>
      <c r="L64" t="s">
        <v>154</v>
      </c>
      <c r="M64" t="str">
        <f>CONCATENATE("(","'",TEXT(A64,"dd.m.rrrrr"),"'",L64,"'",B64,"'",L64,"'",C64,"'",L64,"'",D64,"'",L64,"'",E64,"'",L64,"'",F64,"'",L64,"'",G64,"'",L64,"'",H64,"'",L64,"'",I64,"'",")")</f>
        <v>('06.4.2018', '63', 'Relegation round  5', 'KVA', 'Friday', 'Away', '4:3pp', '', '8')</v>
      </c>
      <c r="W64" t="str">
        <f t="shared" si="0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</v>
      </c>
    </row>
    <row r="65" spans="1:23" x14ac:dyDescent="0.25">
      <c r="A65" s="2">
        <v>43198</v>
      </c>
      <c r="B65" s="1">
        <v>64</v>
      </c>
      <c r="C65" s="1" t="s">
        <v>72</v>
      </c>
      <c r="D65" s="1" t="s">
        <v>28</v>
      </c>
      <c r="E65" s="1" t="s">
        <v>57</v>
      </c>
      <c r="F65" s="1" t="s">
        <v>157</v>
      </c>
      <c r="G65" s="11" t="s">
        <v>167</v>
      </c>
      <c r="H65" s="3"/>
      <c r="I65" s="1">
        <v>8</v>
      </c>
      <c r="L65" t="s">
        <v>154</v>
      </c>
      <c r="M65" t="str">
        <f>CONCATENATE("(","'",TEXT(A65,"dd.m.rrrrr"),"'",L65,"'",B65,"'",L65,"'",C65,"'",L65,"'",D65,"'",L65,"'",E65,"'",L65,"'",F65,"'",L65,"'",G65,"'",L65,"'",H65,"'",L65,"'",I65,"'",")")</f>
        <v>('08.4.2018', '64', 'Relegation round  6', 'KLA', 'Sunday', 'Home', '1:2', '', '8')</v>
      </c>
      <c r="W65" t="str">
        <f t="shared" si="0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</v>
      </c>
    </row>
    <row r="66" spans="1:23" x14ac:dyDescent="0.25">
      <c r="A66" s="2">
        <v>43200</v>
      </c>
      <c r="B66" s="1">
        <v>65</v>
      </c>
      <c r="C66" s="1" t="s">
        <v>73</v>
      </c>
      <c r="D66" s="1" t="s">
        <v>27</v>
      </c>
      <c r="E66" s="1" t="s">
        <v>59</v>
      </c>
      <c r="F66" s="1" t="s">
        <v>157</v>
      </c>
      <c r="G66" s="11" t="s">
        <v>160</v>
      </c>
      <c r="H66" s="3"/>
      <c r="I66" s="1">
        <v>8</v>
      </c>
      <c r="L66" t="s">
        <v>154</v>
      </c>
      <c r="M66" t="str">
        <f>CONCATENATE("(","'",TEXT(A66,"dd.m.rrrrr"),"'",L66,"'",B66,"'",L66,"'",C66,"'",L66,"'",D66,"'",L66,"'",E66,"'",L66,"'",F66,"'",L66,"'",G66,"'",L66,"'",H66,"'",L66,"'",I66,"'",")")</f>
        <v>('10.4.2018', '65', 'Relegation round  7', 'KVA', 'Tuesday', 'Home', '1:5', '', '8')</v>
      </c>
      <c r="W66" t="str">
        <f t="shared" si="0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</v>
      </c>
    </row>
    <row r="67" spans="1:23" x14ac:dyDescent="0.25">
      <c r="A67" s="2">
        <v>43203</v>
      </c>
      <c r="B67" s="1">
        <v>66</v>
      </c>
      <c r="C67" s="1" t="s">
        <v>74</v>
      </c>
      <c r="D67" s="1" t="s">
        <v>28</v>
      </c>
      <c r="E67" s="1" t="s">
        <v>55</v>
      </c>
      <c r="F67" s="1" t="s">
        <v>155</v>
      </c>
      <c r="G67" s="11" t="s">
        <v>179</v>
      </c>
      <c r="H67" s="3"/>
      <c r="I67" s="1">
        <v>11</v>
      </c>
      <c r="L67" t="s">
        <v>154</v>
      </c>
      <c r="M67" t="str">
        <f>CONCATENATE("(","'",TEXT(A67,"dd.m.rrrrr"),"'",L67,"'",B67,"'",L67,"'",C67,"'",L67,"'",D67,"'",L67,"'",E67,"'",L67,"'",F67,"'",L67,"'",G67,"'",L67,"'",H67,"'",L67,"'",I67,"'",")")</f>
        <v>('13.4.2018', '66', 'Relegation round  8', 'KLA', 'Friday', 'Away', '3:1', '', '11')</v>
      </c>
      <c r="W67" t="str">
        <f t="shared" si="0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</v>
      </c>
    </row>
    <row r="68" spans="1:23" x14ac:dyDescent="0.25">
      <c r="A68" s="2">
        <v>43205</v>
      </c>
      <c r="B68" s="1">
        <v>67</v>
      </c>
      <c r="C68" s="1" t="s">
        <v>75</v>
      </c>
      <c r="D68" s="1" t="s">
        <v>12</v>
      </c>
      <c r="E68" s="1" t="s">
        <v>57</v>
      </c>
      <c r="F68" s="1" t="s">
        <v>155</v>
      </c>
      <c r="G68" s="1" t="s">
        <v>29</v>
      </c>
      <c r="H68" s="3"/>
      <c r="I68" s="1">
        <v>12</v>
      </c>
      <c r="L68" t="s">
        <v>154</v>
      </c>
      <c r="M68" t="str">
        <f>CONCATENATE("(","'",TEXT(A68,"dd.m.rrrrr"),"'",L68,"'",B68,"'",L68,"'",C68,"'",L68,"'",D68,"'",L68,"'",E68,"'",L68,"'",F68,"'",L68,"'",G68,"'",L68,"'",H68,"'",L68,"'",I68,"'",")")</f>
        <v>('15.4.2018', '67', 'Relegation round  9', 'JIH', 'Sunday', 'Away', '1:2sn', '', '12')</v>
      </c>
      <c r="W68" t="str">
        <f t="shared" si="0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</v>
      </c>
    </row>
    <row r="69" spans="1:23" x14ac:dyDescent="0.25">
      <c r="A69" s="2">
        <v>43207</v>
      </c>
      <c r="B69" s="1">
        <v>68</v>
      </c>
      <c r="C69" s="1" t="s">
        <v>76</v>
      </c>
      <c r="D69" s="1" t="s">
        <v>12</v>
      </c>
      <c r="E69" s="1" t="s">
        <v>59</v>
      </c>
      <c r="F69" s="1" t="s">
        <v>157</v>
      </c>
      <c r="G69" s="11" t="s">
        <v>180</v>
      </c>
      <c r="H69" s="3"/>
      <c r="I69" s="1">
        <v>15</v>
      </c>
      <c r="L69" t="s">
        <v>154</v>
      </c>
      <c r="M69" t="str">
        <f>CONCATENATE("(","'",TEXT(A69,"dd.m.rrrrr"),"'",L69,"'",B69,"'",L69,"'",C69,"'",L69,"'",D69,"'",L69,"'",E69,"'",L69,"'",F69,"'",L69,"'",G69,"'",L69,"'",H69,"'",L69,"'",I69,"'",")")</f>
        <v>('17.4.2018', '68', 'Relegation round  10', 'JIH', 'Tuesday', 'Home', '3:2', '', '15')</v>
      </c>
      <c r="W69" t="str">
        <f t="shared" ref="W69:W132" si="1">CONCATENATE(W68,", ",M69)</f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</v>
      </c>
    </row>
    <row r="70" spans="1:23" x14ac:dyDescent="0.25">
      <c r="A70" s="2">
        <v>43210</v>
      </c>
      <c r="B70" s="1">
        <v>69</v>
      </c>
      <c r="C70" s="1" t="s">
        <v>77</v>
      </c>
      <c r="D70" s="1" t="s">
        <v>27</v>
      </c>
      <c r="E70" s="1" t="s">
        <v>55</v>
      </c>
      <c r="F70" s="1" t="s">
        <v>155</v>
      </c>
      <c r="G70" s="1" t="s">
        <v>30</v>
      </c>
      <c r="H70" s="3"/>
      <c r="I70" s="1">
        <v>17</v>
      </c>
      <c r="L70" t="s">
        <v>154</v>
      </c>
      <c r="M70" t="str">
        <f>CONCATENATE("(","'",TEXT(A70,"dd.m.rrrrr"),"'",L70,"'",B70,"'",L70,"'",C70,"'",L70,"'",D70,"'",L70,"'",E70,"'",L70,"'",F70,"'",L70,"'",G70,"'",L70,"'",H70,"'",L70,"'",I70,"'",")")</f>
        <v>('20.4.2018', '69', 'Relegation round  11', 'KVA', 'Friday', 'Away', '1:0pp', '', '17')</v>
      </c>
      <c r="W70" t="str">
        <f t="shared" si="1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</v>
      </c>
    </row>
    <row r="71" spans="1:23" x14ac:dyDescent="0.25">
      <c r="A71" s="2">
        <v>43212</v>
      </c>
      <c r="B71" s="1">
        <v>70</v>
      </c>
      <c r="C71" s="1" t="s">
        <v>78</v>
      </c>
      <c r="D71" s="1" t="s">
        <v>28</v>
      </c>
      <c r="E71" s="1" t="s">
        <v>57</v>
      </c>
      <c r="F71" s="1" t="s">
        <v>157</v>
      </c>
      <c r="G71" s="11" t="s">
        <v>196</v>
      </c>
      <c r="H71" s="3"/>
      <c r="I71" s="4">
        <v>20</v>
      </c>
      <c r="L71" t="s">
        <v>154</v>
      </c>
      <c r="M71" t="str">
        <f>CONCATENATE("(","'",TEXT(A71,"dd.m.rrrrr"),"'",L71,"'",B71,"'",L71,"'",C71,"'",L71,"'",D71,"'",L71,"'",E71,"'",L71,"'",F71,"'",L71,"'",G71,"'",L71,"'",H71,"'",L71,"'",I71,"'",")")</f>
        <v>('22.4.2018', '70', 'Relegation round  12', 'KLA', 'Sunday', 'Home', '5:2', '', '20')</v>
      </c>
      <c r="W71" t="str">
        <f t="shared" si="1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</v>
      </c>
    </row>
    <row r="72" spans="1:23" x14ac:dyDescent="0.25">
      <c r="A72" s="2">
        <v>43357</v>
      </c>
      <c r="B72" s="1">
        <v>1</v>
      </c>
      <c r="C72" s="1" t="s">
        <v>64</v>
      </c>
      <c r="D72" s="1" t="s">
        <v>7</v>
      </c>
      <c r="E72" s="1" t="s">
        <v>55</v>
      </c>
      <c r="F72" s="1" t="s">
        <v>155</v>
      </c>
      <c r="G72" s="11" t="s">
        <v>189</v>
      </c>
      <c r="H72" s="1">
        <v>5</v>
      </c>
      <c r="I72" s="1">
        <v>3</v>
      </c>
      <c r="L72" t="s">
        <v>154</v>
      </c>
      <c r="M72" t="str">
        <f>CONCATENATE("(","'",TEXT(A72,"dd.m.rrrrr"),"'",L72,"'",B72,"'",L72,"'",C72,"'",L72,"'",D72,"'",L72,"'",E72,"'",L72,"'",F72,"'",L72,"'",G72,"'",L72,"'",H72,"'",L72,"'",I72,"'",")")</f>
        <v>('14.9.2018', '1', '1st round', 'MBO', 'Friday', 'Away', '4:3', '5', '3')</v>
      </c>
      <c r="W72" t="str">
        <f t="shared" si="1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</v>
      </c>
    </row>
    <row r="73" spans="1:23" x14ac:dyDescent="0.25">
      <c r="A73" s="2">
        <v>43359</v>
      </c>
      <c r="B73" s="1">
        <v>2</v>
      </c>
      <c r="C73" s="1" t="s">
        <v>65</v>
      </c>
      <c r="D73" s="1" t="s">
        <v>5</v>
      </c>
      <c r="E73" s="1" t="s">
        <v>57</v>
      </c>
      <c r="F73" s="1" t="s">
        <v>157</v>
      </c>
      <c r="G73" s="11" t="s">
        <v>196</v>
      </c>
      <c r="H73" s="1">
        <v>1</v>
      </c>
      <c r="I73" s="1">
        <v>6</v>
      </c>
      <c r="L73" t="s">
        <v>154</v>
      </c>
      <c r="M73" t="str">
        <f>CONCATENATE("(","'",TEXT(A73,"dd.m.rrrrr"),"'",L73,"'",B73,"'",L73,"'",C73,"'",L73,"'",D73,"'",L73,"'",E73,"'",L73,"'",F73,"'",L73,"'",G73,"'",L73,"'",H73,"'",L73,"'",I73,"'",")")</f>
        <v>('16.9.2018', '2', '2nd round', 'ZLN', 'Sunday', 'Home', '5:2', '1', '6')</v>
      </c>
      <c r="W73" t="str">
        <f t="shared" si="1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</v>
      </c>
    </row>
    <row r="74" spans="1:23" x14ac:dyDescent="0.25">
      <c r="A74" s="2">
        <v>43364</v>
      </c>
      <c r="B74" s="1">
        <v>3</v>
      </c>
      <c r="C74" s="1" t="s">
        <v>66</v>
      </c>
      <c r="D74" s="1" t="s">
        <v>9</v>
      </c>
      <c r="E74" s="1" t="s">
        <v>55</v>
      </c>
      <c r="F74" s="1" t="s">
        <v>155</v>
      </c>
      <c r="G74" s="11" t="s">
        <v>201</v>
      </c>
      <c r="H74" s="1">
        <v>1</v>
      </c>
      <c r="I74" s="1">
        <v>9</v>
      </c>
      <c r="L74" t="s">
        <v>154</v>
      </c>
      <c r="M74" t="str">
        <f>CONCATENATE("(","'",TEXT(A74,"dd.m.rrrrr"),"'",L74,"'",B74,"'",L74,"'",C74,"'",L74,"'",D74,"'",L74,"'",E74,"'",L74,"'",F74,"'",L74,"'",G74,"'",L74,"'",H74,"'",L74,"'",I74,"'",")")</f>
        <v>('21.9.2018', '3', '3rd round', 'PAR', 'Friday', 'Away', '6:2', '1', '9')</v>
      </c>
      <c r="W74" t="str">
        <f t="shared" si="1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</v>
      </c>
    </row>
    <row r="75" spans="1:23" x14ac:dyDescent="0.25">
      <c r="A75" s="2">
        <v>43366</v>
      </c>
      <c r="B75" s="1">
        <v>4</v>
      </c>
      <c r="C75" s="1" t="s">
        <v>92</v>
      </c>
      <c r="D75" s="1" t="s">
        <v>8</v>
      </c>
      <c r="E75" s="1" t="s">
        <v>57</v>
      </c>
      <c r="F75" s="1" t="s">
        <v>157</v>
      </c>
      <c r="G75" s="11" t="s">
        <v>187</v>
      </c>
      <c r="H75" s="1">
        <v>1</v>
      </c>
      <c r="I75" s="1">
        <v>12</v>
      </c>
      <c r="L75" t="s">
        <v>154</v>
      </c>
      <c r="M75" t="str">
        <f>CONCATENATE("(","'",TEXT(A75,"dd.m.rrrrr"),"'",L75,"'",B75,"'",L75,"'",C75,"'",L75,"'",D75,"'",L75,"'",E75,"'",L75,"'",F75,"'",L75,"'",G75,"'",L75,"'",H75,"'",L75,"'",I75,"'",")")</f>
        <v>('23.9.2018', '4', '4 th round', 'CHO', 'Sunday', 'Home', '4:1', '1', '12')</v>
      </c>
      <c r="W75" t="str">
        <f t="shared" si="1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</v>
      </c>
    </row>
    <row r="76" spans="1:23" x14ac:dyDescent="0.25">
      <c r="A76" s="2">
        <v>43371</v>
      </c>
      <c r="B76" s="1">
        <v>5</v>
      </c>
      <c r="C76" s="1" t="s">
        <v>93</v>
      </c>
      <c r="D76" s="1" t="s">
        <v>27</v>
      </c>
      <c r="E76" s="1" t="s">
        <v>55</v>
      </c>
      <c r="F76" s="1" t="s">
        <v>155</v>
      </c>
      <c r="G76" s="3" t="s">
        <v>19</v>
      </c>
      <c r="H76" s="1">
        <v>1</v>
      </c>
      <c r="I76" s="1">
        <v>14</v>
      </c>
      <c r="L76" t="s">
        <v>154</v>
      </c>
      <c r="M76" t="str">
        <f>CONCATENATE("(","'",TEXT(A76,"dd.m.rrrrr"),"'",L76,"'",B76,"'",L76,"'",C76,"'",L76,"'",D76,"'",L76,"'",E76,"'",L76,"'",F76,"'",L76,"'",G76,"'",L76,"'",H76,"'",L76,"'",I76,"'",")")</f>
        <v>('28.9.2018', '5', '5 th round', 'KVA', 'Friday', 'Away', '4:3pp', '1', '14')</v>
      </c>
      <c r="W76" t="str">
        <f t="shared" si="1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</v>
      </c>
    </row>
    <row r="77" spans="1:23" x14ac:dyDescent="0.25">
      <c r="A77" s="2">
        <v>43373</v>
      </c>
      <c r="B77" s="1">
        <v>6</v>
      </c>
      <c r="C77" s="1" t="s">
        <v>94</v>
      </c>
      <c r="D77" s="1" t="s">
        <v>4</v>
      </c>
      <c r="E77" s="1" t="s">
        <v>57</v>
      </c>
      <c r="F77" s="1" t="s">
        <v>157</v>
      </c>
      <c r="G77" s="11" t="s">
        <v>173</v>
      </c>
      <c r="H77" s="1">
        <v>1</v>
      </c>
      <c r="I77" s="1">
        <v>17</v>
      </c>
      <c r="L77" t="s">
        <v>154</v>
      </c>
      <c r="M77" t="str">
        <f>CONCATENATE("(","'",TEXT(A77,"dd.m.rrrrr"),"'",L77,"'",B77,"'",L77,"'",C77,"'",L77,"'",D77,"'",L77,"'",E77,"'",L77,"'",F77,"'",L77,"'",G77,"'",L77,"'",H77,"'",L77,"'",I77,"'",")")</f>
        <v>('30.9.2018', '6', '6 th round', 'OLO', 'Sunday', 'Home', '2:1', '1', '17')</v>
      </c>
      <c r="W77" t="str">
        <f t="shared" si="1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</v>
      </c>
    </row>
    <row r="78" spans="1:23" x14ac:dyDescent="0.25">
      <c r="A78" s="2">
        <v>43378</v>
      </c>
      <c r="B78" s="1">
        <v>7</v>
      </c>
      <c r="C78" s="1" t="s">
        <v>95</v>
      </c>
      <c r="D78" s="1" t="s">
        <v>6</v>
      </c>
      <c r="E78" s="1" t="s">
        <v>55</v>
      </c>
      <c r="F78" s="1" t="s">
        <v>157</v>
      </c>
      <c r="G78" s="11" t="s">
        <v>162</v>
      </c>
      <c r="H78" s="1">
        <v>2</v>
      </c>
      <c r="I78" s="1">
        <v>17</v>
      </c>
      <c r="L78" t="s">
        <v>154</v>
      </c>
      <c r="M78" t="str">
        <f>CONCATENATE("(","'",TEXT(A78,"dd.m.rrrrr"),"'",L78,"'",B78,"'",L78,"'",C78,"'",L78,"'",D78,"'",L78,"'",E78,"'",L78,"'",F78,"'",L78,"'",G78,"'",L78,"'",H78,"'",L78,"'",I78,"'",")")</f>
        <v>('05.10.2018', '7', '7 th round', 'TRI', 'Friday', 'Home', '0:2', '2', '17')</v>
      </c>
      <c r="W78" t="str">
        <f t="shared" si="1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</v>
      </c>
    </row>
    <row r="79" spans="1:23" x14ac:dyDescent="0.25">
      <c r="A79" s="2">
        <v>43380</v>
      </c>
      <c r="B79" s="1">
        <v>8</v>
      </c>
      <c r="C79" s="1" t="s">
        <v>96</v>
      </c>
      <c r="D79" s="1" t="s">
        <v>2</v>
      </c>
      <c r="E79" s="1" t="s">
        <v>57</v>
      </c>
      <c r="F79" s="1" t="s">
        <v>157</v>
      </c>
      <c r="G79" s="11" t="s">
        <v>173</v>
      </c>
      <c r="H79" s="1">
        <v>1</v>
      </c>
      <c r="I79" s="1">
        <v>20</v>
      </c>
      <c r="L79" t="s">
        <v>154</v>
      </c>
      <c r="M79" t="str">
        <f>CONCATENATE("(","'",TEXT(A79,"dd.m.rrrrr"),"'",L79,"'",B79,"'",L79,"'",C79,"'",L79,"'",D79,"'",L79,"'",E79,"'",L79,"'",F79,"'",L79,"'",G79,"'",L79,"'",H79,"'",L79,"'",I79,"'",")")</f>
        <v>('07.10.2018', '8', '8 th round', 'HRK', 'Sunday', 'Home', '2:1', '1', '20')</v>
      </c>
      <c r="W79" t="str">
        <f t="shared" si="1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</v>
      </c>
    </row>
    <row r="80" spans="1:23" x14ac:dyDescent="0.25">
      <c r="A80" s="2">
        <v>43385</v>
      </c>
      <c r="B80" s="1">
        <v>9</v>
      </c>
      <c r="C80" s="1" t="s">
        <v>97</v>
      </c>
      <c r="D80" s="1" t="s">
        <v>11</v>
      </c>
      <c r="E80" s="1" t="s">
        <v>55</v>
      </c>
      <c r="F80" s="1" t="s">
        <v>155</v>
      </c>
      <c r="G80" s="11" t="s">
        <v>168</v>
      </c>
      <c r="H80" s="1">
        <v>2</v>
      </c>
      <c r="I80" s="1">
        <v>20</v>
      </c>
      <c r="L80" t="s">
        <v>154</v>
      </c>
      <c r="M80" t="str">
        <f>CONCATENATE("(","'",TEXT(A80,"dd.m.rrrrr"),"'",L80,"'",B80,"'",L80,"'",C80,"'",L80,"'",D80,"'",L80,"'",E80,"'",L80,"'",F80,"'",L80,"'",G80,"'",L80,"'",H80,"'",L80,"'",I80,"'",")")</f>
        <v>('12.10.2018', '9', '9 th round', 'BRN', 'Friday', 'Away', '1:3', '2', '20')</v>
      </c>
      <c r="W80" t="str">
        <f t="shared" si="1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</v>
      </c>
    </row>
    <row r="81" spans="1:23" x14ac:dyDescent="0.25">
      <c r="A81" s="2">
        <v>43387</v>
      </c>
      <c r="B81" s="1">
        <v>10</v>
      </c>
      <c r="C81" s="1" t="s">
        <v>98</v>
      </c>
      <c r="D81" s="1" t="s">
        <v>1</v>
      </c>
      <c r="E81" s="1" t="s">
        <v>57</v>
      </c>
      <c r="F81" s="1" t="s">
        <v>155</v>
      </c>
      <c r="G81" s="11" t="s">
        <v>165</v>
      </c>
      <c r="H81" s="1">
        <v>4</v>
      </c>
      <c r="I81" s="1">
        <v>20</v>
      </c>
      <c r="L81" t="s">
        <v>154</v>
      </c>
      <c r="M81" t="str">
        <f>CONCATENATE("(","'",TEXT(A81,"dd.m.rrrrr"),"'",L81,"'",B81,"'",L81,"'",C81,"'",L81,"'",D81,"'",L81,"'",E81,"'",L81,"'",F81,"'",L81,"'",G81,"'",L81,"'",H81,"'",L81,"'",I81,"'",")")</f>
        <v>('14.10.2018', '10', '10 th round', 'LIB', 'Sunday', 'Away', '0:5', '4', '20')</v>
      </c>
      <c r="W81" t="str">
        <f t="shared" si="1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</v>
      </c>
    </row>
    <row r="82" spans="1:23" x14ac:dyDescent="0.25">
      <c r="A82" s="2">
        <v>43393</v>
      </c>
      <c r="B82" s="1">
        <v>11</v>
      </c>
      <c r="C82" s="1" t="s">
        <v>99</v>
      </c>
      <c r="D82" s="1" t="s">
        <v>3</v>
      </c>
      <c r="E82" s="1" t="s">
        <v>56</v>
      </c>
      <c r="F82" s="1" t="s">
        <v>157</v>
      </c>
      <c r="G82" s="11" t="s">
        <v>162</v>
      </c>
      <c r="H82" s="1">
        <v>5</v>
      </c>
      <c r="I82" s="1">
        <v>20</v>
      </c>
      <c r="L82" t="s">
        <v>154</v>
      </c>
      <c r="M82" t="str">
        <f>CONCATENATE("(","'",TEXT(A82,"dd.m.rrrrr"),"'",L82,"'",B82,"'",L82,"'",C82,"'",L82,"'",D82,"'",L82,"'",E82,"'",L82,"'",F82,"'",L82,"'",G82,"'",L82,"'",H82,"'",L82,"'",I82,"'",")")</f>
        <v>('20.10.2018', '11', '11 th round', 'SPA', 'Saturday', 'Home', '0:2', '5', '20')</v>
      </c>
      <c r="W82" t="str">
        <f t="shared" si="1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</v>
      </c>
    </row>
    <row r="83" spans="1:23" x14ac:dyDescent="0.25">
      <c r="A83" s="2">
        <v>43394</v>
      </c>
      <c r="B83" s="1">
        <v>12</v>
      </c>
      <c r="C83" s="1" t="s">
        <v>100</v>
      </c>
      <c r="D83" s="1" t="s">
        <v>0</v>
      </c>
      <c r="E83" s="1" t="s">
        <v>57</v>
      </c>
      <c r="F83" s="1" t="s">
        <v>155</v>
      </c>
      <c r="G83" s="11" t="s">
        <v>169</v>
      </c>
      <c r="H83" s="1">
        <v>6</v>
      </c>
      <c r="I83" s="1">
        <v>20</v>
      </c>
      <c r="L83" t="s">
        <v>154</v>
      </c>
      <c r="M83" t="str">
        <f>CONCATENATE("(","'",TEXT(A83,"dd.m.rrrrr"),"'",L83,"'",B83,"'",L83,"'",C83,"'",L83,"'",D83,"'",L83,"'",E83,"'",L83,"'",F83,"'",L83,"'",G83,"'",L83,"'",H83,"'",L83,"'",I83,"'",")")</f>
        <v>('21.10.2018', '12', '12 th round', 'PLZ', 'Sunday', 'Away', '1:4', '6', '20')</v>
      </c>
      <c r="W83" t="str">
        <f t="shared" si="1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</v>
      </c>
    </row>
    <row r="84" spans="1:23" x14ac:dyDescent="0.25">
      <c r="A84" s="2">
        <v>43396</v>
      </c>
      <c r="B84" s="1">
        <v>13</v>
      </c>
      <c r="C84" s="1" t="s">
        <v>112</v>
      </c>
      <c r="D84" s="1" t="s">
        <v>3</v>
      </c>
      <c r="E84" s="1" t="s">
        <v>59</v>
      </c>
      <c r="F84" s="1" t="s">
        <v>155</v>
      </c>
      <c r="G84" s="11" t="s">
        <v>173</v>
      </c>
      <c r="H84" s="4">
        <v>5</v>
      </c>
      <c r="I84" s="4">
        <v>23</v>
      </c>
      <c r="L84" t="s">
        <v>154</v>
      </c>
      <c r="M84" t="str">
        <f>CONCATENATE("(","'",TEXT(A84,"dd.m.rrrrr"),"'",L84,"'",B84,"'",L84,"'",C84,"'",L84,"'",D84,"'",L84,"'",E84,"'",L84,"'",F84,"'",L84,"'",G84,"'",L84,"'",H84,"'",L84,"'",I84,"'",")")</f>
        <v>('23.10.2018', '13', '24 th round', 'SPA', 'Tuesday', 'Away', '2:1', '5', '23')</v>
      </c>
      <c r="W84" t="str">
        <f t="shared" si="1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</v>
      </c>
    </row>
    <row r="85" spans="1:23" x14ac:dyDescent="0.25">
      <c r="A85" s="2">
        <v>43399</v>
      </c>
      <c r="B85" s="1">
        <v>14</v>
      </c>
      <c r="C85" s="1" t="s">
        <v>101</v>
      </c>
      <c r="D85" s="1" t="s">
        <v>10</v>
      </c>
      <c r="E85" s="1" t="s">
        <v>55</v>
      </c>
      <c r="F85" s="1" t="s">
        <v>157</v>
      </c>
      <c r="G85" s="11" t="s">
        <v>166</v>
      </c>
      <c r="H85" s="1">
        <v>3</v>
      </c>
      <c r="I85" s="1">
        <v>26</v>
      </c>
      <c r="L85" t="s">
        <v>154</v>
      </c>
      <c r="M85" t="str">
        <f>CONCATENATE("(","'",TEXT(A85,"dd.m.rrrrr"),"'",L85,"'",B85,"'",L85,"'",C85,"'",L85,"'",D85,"'",L85,"'",E85,"'",L85,"'",F85,"'",L85,"'",G85,"'",L85,"'",H85,"'",L85,"'",I85,"'",")")</f>
        <v>('26.10.2018', '14', '13 th round', 'VIT', 'Friday', 'Home', '1:0', '3', '26')</v>
      </c>
      <c r="W85" t="str">
        <f t="shared" si="1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</v>
      </c>
    </row>
    <row r="86" spans="1:23" x14ac:dyDescent="0.25">
      <c r="A86" s="2">
        <v>43401</v>
      </c>
      <c r="B86" s="1">
        <v>15</v>
      </c>
      <c r="C86" s="1" t="s">
        <v>102</v>
      </c>
      <c r="D86" s="1" t="s">
        <v>7</v>
      </c>
      <c r="E86" s="1" t="s">
        <v>57</v>
      </c>
      <c r="F86" s="1" t="s">
        <v>157</v>
      </c>
      <c r="G86" s="11" t="s">
        <v>163</v>
      </c>
      <c r="H86" s="1">
        <v>4</v>
      </c>
      <c r="I86" s="1">
        <v>26</v>
      </c>
      <c r="L86" t="s">
        <v>154</v>
      </c>
      <c r="M86" t="str">
        <f>CONCATENATE("(","'",TEXT(A86,"dd.m.rrrrr"),"'",L86,"'",B86,"'",L86,"'",C86,"'",L86,"'",D86,"'",L86,"'",E86,"'",L86,"'",F86,"'",L86,"'",G86,"'",L86,"'",H86,"'",L86,"'",I86,"'",")")</f>
        <v>('28.10.2018', '15', '14 th round', 'MBO', 'Sunday', 'Home', '0:3', '4', '26')</v>
      </c>
      <c r="W86" t="str">
        <f t="shared" si="1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</v>
      </c>
    </row>
    <row r="87" spans="1:23" x14ac:dyDescent="0.25">
      <c r="A87" s="2">
        <v>43403</v>
      </c>
      <c r="B87" s="1">
        <v>16</v>
      </c>
      <c r="C87" s="1" t="s">
        <v>103</v>
      </c>
      <c r="D87" s="1" t="s">
        <v>5</v>
      </c>
      <c r="E87" s="1" t="s">
        <v>59</v>
      </c>
      <c r="F87" s="1" t="s">
        <v>155</v>
      </c>
      <c r="G87" s="11" t="s">
        <v>176</v>
      </c>
      <c r="H87" s="1">
        <v>5</v>
      </c>
      <c r="I87" s="1">
        <v>26</v>
      </c>
      <c r="L87" t="s">
        <v>154</v>
      </c>
      <c r="M87" t="str">
        <f>CONCATENATE("(","'",TEXT(A87,"dd.m.rrrrr"),"'",L87,"'",B87,"'",L87,"'",C87,"'",L87,"'",D87,"'",L87,"'",E87,"'",L87,"'",F87,"'",L87,"'",G87,"'",L87,"'",H87,"'",L87,"'",I87,"'",")")</f>
        <v>('30.10.2018', '16', '15 th round', 'ZLN', 'Tuesday', 'Away', '2:5', '5', '26')</v>
      </c>
      <c r="W87" t="str">
        <f t="shared" si="1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</v>
      </c>
    </row>
    <row r="88" spans="1:23" x14ac:dyDescent="0.25">
      <c r="A88" s="2">
        <v>43407</v>
      </c>
      <c r="B88" s="1">
        <v>17</v>
      </c>
      <c r="C88" s="1" t="s">
        <v>104</v>
      </c>
      <c r="D88" s="1" t="s">
        <v>9</v>
      </c>
      <c r="E88" s="1" t="s">
        <v>56</v>
      </c>
      <c r="F88" s="1" t="s">
        <v>157</v>
      </c>
      <c r="G88" s="11" t="s">
        <v>181</v>
      </c>
      <c r="H88" s="1">
        <v>7</v>
      </c>
      <c r="I88" s="1">
        <v>26</v>
      </c>
      <c r="L88" t="s">
        <v>154</v>
      </c>
      <c r="M88" t="str">
        <f>CONCATENATE("(","'",TEXT(A88,"dd.m.rrrrr"),"'",L88,"'",B88,"'",L88,"'",C88,"'",L88,"'",D88,"'",L88,"'",E88,"'",L88,"'",F88,"'",L88,"'",G88,"'",L88,"'",H88,"'",L88,"'",I88,"'",")")</f>
        <v>('03.11.2018', '17', '16 th round', 'PAR', 'Saturday', 'Home', '3:4', '7', '26')</v>
      </c>
      <c r="W88" t="str">
        <f t="shared" si="1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</v>
      </c>
    </row>
    <row r="89" spans="1:23" x14ac:dyDescent="0.25">
      <c r="A89" s="2">
        <v>43408</v>
      </c>
      <c r="B89" s="1">
        <v>18</v>
      </c>
      <c r="C89" s="1" t="s">
        <v>105</v>
      </c>
      <c r="D89" s="1" t="s">
        <v>8</v>
      </c>
      <c r="E89" s="1" t="s">
        <v>57</v>
      </c>
      <c r="F89" s="1" t="s">
        <v>155</v>
      </c>
      <c r="G89" s="3" t="s">
        <v>15</v>
      </c>
      <c r="H89" s="1">
        <v>7</v>
      </c>
      <c r="I89" s="1">
        <v>28</v>
      </c>
      <c r="L89" t="s">
        <v>154</v>
      </c>
      <c r="M89" t="str">
        <f>CONCATENATE("(","'",TEXT(A89,"dd.m.rrrrr"),"'",L89,"'",B89,"'",L89,"'",C89,"'",L89,"'",D89,"'",L89,"'",E89,"'",L89,"'",F89,"'",L89,"'",G89,"'",L89,"'",H89,"'",L89,"'",I89,"'",")")</f>
        <v>('04.11.2018', '18', '17 th round', 'CHO', 'Sunday', 'Away', '2:1pp', '7', '28')</v>
      </c>
      <c r="W89" t="str">
        <f t="shared" si="1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</v>
      </c>
    </row>
    <row r="90" spans="1:23" x14ac:dyDescent="0.25">
      <c r="A90" s="2">
        <v>43418</v>
      </c>
      <c r="B90" s="1">
        <v>19</v>
      </c>
      <c r="C90" s="1" t="s">
        <v>106</v>
      </c>
      <c r="D90" s="1" t="s">
        <v>27</v>
      </c>
      <c r="E90" s="1" t="s">
        <v>60</v>
      </c>
      <c r="F90" s="1" t="s">
        <v>157</v>
      </c>
      <c r="G90" s="11" t="s">
        <v>205</v>
      </c>
      <c r="H90" s="1">
        <v>6</v>
      </c>
      <c r="I90" s="1">
        <v>31</v>
      </c>
      <c r="L90" t="s">
        <v>154</v>
      </c>
      <c r="M90" t="str">
        <f>CONCATENATE("(","'",TEXT(A90,"dd.m.rrrrr"),"'",L90,"'",B90,"'",L90,"'",C90,"'",L90,"'",D90,"'",L90,"'",E90,"'",L90,"'",F90,"'",L90,"'",G90,"'",L90,"'",H90,"'",L90,"'",I90,"'",")")</f>
        <v>('14.11.2018', '19', '18 th round', 'KVA', 'Wednesday', 'Home', '7:2', '6', '31')</v>
      </c>
      <c r="W90" t="str">
        <f t="shared" si="1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</v>
      </c>
    </row>
    <row r="91" spans="1:23" x14ac:dyDescent="0.25">
      <c r="A91" s="2">
        <v>43420</v>
      </c>
      <c r="B91" s="1">
        <v>20</v>
      </c>
      <c r="C91" s="1" t="s">
        <v>107</v>
      </c>
      <c r="D91" s="1" t="s">
        <v>4</v>
      </c>
      <c r="E91" s="1" t="s">
        <v>55</v>
      </c>
      <c r="F91" s="1" t="s">
        <v>155</v>
      </c>
      <c r="G91" s="11" t="s">
        <v>168</v>
      </c>
      <c r="H91" s="1">
        <v>7</v>
      </c>
      <c r="I91" s="1">
        <v>31</v>
      </c>
      <c r="L91" t="s">
        <v>154</v>
      </c>
      <c r="M91" t="str">
        <f>CONCATENATE("(","'",TEXT(A91,"dd.m.rrrrr"),"'",L91,"'",B91,"'",L91,"'",C91,"'",L91,"'",D91,"'",L91,"'",E91,"'",L91,"'",F91,"'",L91,"'",G91,"'",L91,"'",H91,"'",L91,"'",I91,"'",")")</f>
        <v>('16.11.2018', '20', '19 th round', 'OLO', 'Friday', 'Away', '1:3', '7', '31')</v>
      </c>
      <c r="W91" t="str">
        <f t="shared" si="1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</v>
      </c>
    </row>
    <row r="92" spans="1:23" x14ac:dyDescent="0.25">
      <c r="A92" s="2">
        <v>43421</v>
      </c>
      <c r="B92" s="1">
        <v>21</v>
      </c>
      <c r="C92" s="1" t="s">
        <v>108</v>
      </c>
      <c r="D92" s="1" t="s">
        <v>6</v>
      </c>
      <c r="E92" s="1" t="s">
        <v>56</v>
      </c>
      <c r="F92" s="1" t="s">
        <v>155</v>
      </c>
      <c r="G92" s="11" t="s">
        <v>175</v>
      </c>
      <c r="H92" s="1">
        <v>7</v>
      </c>
      <c r="I92" s="1">
        <v>31</v>
      </c>
      <c r="L92" t="s">
        <v>154</v>
      </c>
      <c r="M92" t="str">
        <f>CONCATENATE("(","'",TEXT(A92,"dd.m.rrrrr"),"'",L92,"'",B92,"'",L92,"'",C92,"'",L92,"'",D92,"'",L92,"'",E92,"'",L92,"'",F92,"'",L92,"'",G92,"'",L92,"'",H92,"'",L92,"'",I92,"'",")")</f>
        <v>('17.11.2018', '21', '20 th round', 'TRI', 'Saturday', 'Away', '2:4', '7', '31')</v>
      </c>
      <c r="W92" t="str">
        <f t="shared" si="1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</v>
      </c>
    </row>
    <row r="93" spans="1:23" x14ac:dyDescent="0.25">
      <c r="A93" s="2">
        <v>43427</v>
      </c>
      <c r="B93" s="1">
        <v>22</v>
      </c>
      <c r="C93" s="1" t="s">
        <v>109</v>
      </c>
      <c r="D93" s="1" t="s">
        <v>2</v>
      </c>
      <c r="E93" s="1" t="s">
        <v>55</v>
      </c>
      <c r="F93" s="1" t="s">
        <v>155</v>
      </c>
      <c r="G93" s="11" t="s">
        <v>174</v>
      </c>
      <c r="H93" s="1">
        <v>8</v>
      </c>
      <c r="I93" s="1">
        <v>31</v>
      </c>
      <c r="L93" t="s">
        <v>154</v>
      </c>
      <c r="M93" t="str">
        <f>CONCATENATE("(","'",TEXT(A93,"dd.m.rrrrr"),"'",L93,"'",B93,"'",L93,"'",C93,"'",L93,"'",D93,"'",L93,"'",E93,"'",L93,"'",F93,"'",L93,"'",G93,"'",L93,"'",H93,"'",L93,"'",I93,"'",")")</f>
        <v>('23.11.2018', '22', '21 th round', 'HRK', 'Friday', 'Away', '2:3', '8', '31')</v>
      </c>
      <c r="W93" t="str">
        <f t="shared" si="1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</v>
      </c>
    </row>
    <row r="94" spans="1:23" x14ac:dyDescent="0.25">
      <c r="A94" s="2">
        <v>43429</v>
      </c>
      <c r="B94" s="1">
        <v>23</v>
      </c>
      <c r="C94" s="1" t="s">
        <v>110</v>
      </c>
      <c r="D94" s="1" t="s">
        <v>11</v>
      </c>
      <c r="E94" s="1" t="s">
        <v>57</v>
      </c>
      <c r="F94" s="1" t="s">
        <v>157</v>
      </c>
      <c r="G94" s="11" t="s">
        <v>174</v>
      </c>
      <c r="H94" s="1">
        <v>9</v>
      </c>
      <c r="I94" s="1">
        <v>31</v>
      </c>
      <c r="L94" t="s">
        <v>154</v>
      </c>
      <c r="M94" t="str">
        <f>CONCATENATE("(","'",TEXT(A94,"dd.m.rrrrr"),"'",L94,"'",B94,"'",L94,"'",C94,"'",L94,"'",D94,"'",L94,"'",E94,"'",L94,"'",F94,"'",L94,"'",G94,"'",L94,"'",H94,"'",L94,"'",I94,"'",")")</f>
        <v>('25.11.2018', '23', '22 th round', 'BRN', 'Sunday', 'Home', '2:3', '9', '31')</v>
      </c>
      <c r="W94" t="str">
        <f t="shared" si="1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</v>
      </c>
    </row>
    <row r="95" spans="1:23" x14ac:dyDescent="0.25">
      <c r="A95" s="2">
        <v>43434</v>
      </c>
      <c r="B95" s="1">
        <v>24</v>
      </c>
      <c r="C95" s="1" t="s">
        <v>111</v>
      </c>
      <c r="D95" s="1" t="s">
        <v>1</v>
      </c>
      <c r="E95" s="1" t="s">
        <v>55</v>
      </c>
      <c r="F95" s="1" t="s">
        <v>157</v>
      </c>
      <c r="G95" s="11" t="s">
        <v>201</v>
      </c>
      <c r="H95" s="1">
        <v>10</v>
      </c>
      <c r="I95" s="1">
        <v>34</v>
      </c>
      <c r="L95" t="s">
        <v>154</v>
      </c>
      <c r="M95" t="str">
        <f>CONCATENATE("(","'",TEXT(A95,"dd.m.rrrrr"),"'",L95,"'",B95,"'",L95,"'",C95,"'",L95,"'",D95,"'",L95,"'",E95,"'",L95,"'",F95,"'",L95,"'",G95,"'",L95,"'",H95,"'",L95,"'",I95,"'",")")</f>
        <v>('30.11.2018', '24', '23 th round', 'LIB', 'Friday', 'Home', '6:2', '10', '34')</v>
      </c>
      <c r="W95" t="str">
        <f t="shared" si="1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</v>
      </c>
    </row>
    <row r="96" spans="1:23" x14ac:dyDescent="0.25">
      <c r="A96" s="2">
        <v>43441</v>
      </c>
      <c r="B96" s="1">
        <v>25</v>
      </c>
      <c r="C96" s="1" t="s">
        <v>113</v>
      </c>
      <c r="D96" s="1" t="s">
        <v>0</v>
      </c>
      <c r="E96" s="1" t="s">
        <v>55</v>
      </c>
      <c r="F96" s="1" t="s">
        <v>157</v>
      </c>
      <c r="G96" s="3" t="s">
        <v>29</v>
      </c>
      <c r="H96" s="1">
        <v>11</v>
      </c>
      <c r="I96" s="1">
        <v>35</v>
      </c>
      <c r="L96" t="s">
        <v>154</v>
      </c>
      <c r="M96" t="str">
        <f>CONCATENATE("(","'",TEXT(A96,"dd.m.rrrrr"),"'",L96,"'",B96,"'",L96,"'",C96,"'",L96,"'",D96,"'",L96,"'",E96,"'",L96,"'",F96,"'",L96,"'",G96,"'",L96,"'",H96,"'",L96,"'",I96,"'",")")</f>
        <v>('07.12.2018', '25', '25 th round', 'PLZ', 'Friday', 'Home', '1:2sn', '11', '35')</v>
      </c>
      <c r="W96" t="str">
        <f t="shared" si="1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</v>
      </c>
    </row>
    <row r="97" spans="1:23" x14ac:dyDescent="0.25">
      <c r="A97" s="2">
        <v>43443</v>
      </c>
      <c r="B97" s="1">
        <v>26</v>
      </c>
      <c r="C97" s="1" t="s">
        <v>114</v>
      </c>
      <c r="D97" s="1" t="s">
        <v>10</v>
      </c>
      <c r="E97" s="1" t="s">
        <v>57</v>
      </c>
      <c r="F97" s="1" t="s">
        <v>155</v>
      </c>
      <c r="G97" s="11" t="s">
        <v>178</v>
      </c>
      <c r="H97" s="4">
        <v>10</v>
      </c>
      <c r="I97" s="4">
        <v>38</v>
      </c>
      <c r="L97" t="s">
        <v>154</v>
      </c>
      <c r="M97" t="str">
        <f>CONCATENATE("(","'",TEXT(A97,"dd.m.rrrrr"),"'",L97,"'",B97,"'",L97,"'",C97,"'",L97,"'",D97,"'",L97,"'",E97,"'",L97,"'",F97,"'",L97,"'",G97,"'",L97,"'",H97,"'",L97,"'",I97,"'",")")</f>
        <v>('09.12.2018', '26', '26 th round', 'VIT', 'Sunday', 'Away', '3:0', '10', '38')</v>
      </c>
      <c r="W97" t="str">
        <f t="shared" si="1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</v>
      </c>
    </row>
    <row r="98" spans="1:23" x14ac:dyDescent="0.25">
      <c r="A98" s="2">
        <v>43453</v>
      </c>
      <c r="B98" s="1">
        <v>27</v>
      </c>
      <c r="C98" s="1" t="s">
        <v>115</v>
      </c>
      <c r="D98" s="1" t="s">
        <v>7</v>
      </c>
      <c r="E98" s="1" t="s">
        <v>60</v>
      </c>
      <c r="F98" s="1" t="s">
        <v>155</v>
      </c>
      <c r="G98" s="11" t="s">
        <v>176</v>
      </c>
      <c r="H98" s="1">
        <v>10</v>
      </c>
      <c r="I98" s="1">
        <v>38</v>
      </c>
      <c r="L98" t="s">
        <v>154</v>
      </c>
      <c r="M98" t="str">
        <f>CONCATENATE("(","'",TEXT(A98,"dd.m.rrrrr"),"'",L98,"'",B98,"'",L98,"'",C98,"'",L98,"'",D98,"'",L98,"'",E98,"'",L98,"'",F98,"'",L98,"'",G98,"'",L98,"'",H98,"'",L98,"'",I98,"'",")")</f>
        <v>('19.12.2018', '27', '27 th round', 'MBO', 'Wednesday', 'Away', '2:5', '10', '38')</v>
      </c>
      <c r="W98" t="str">
        <f t="shared" si="1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</v>
      </c>
    </row>
    <row r="99" spans="1:23" x14ac:dyDescent="0.25">
      <c r="A99" s="2">
        <v>43455</v>
      </c>
      <c r="B99" s="1">
        <v>28</v>
      </c>
      <c r="C99" s="1" t="s">
        <v>116</v>
      </c>
      <c r="D99" s="1" t="s">
        <v>5</v>
      </c>
      <c r="E99" s="1" t="s">
        <v>55</v>
      </c>
      <c r="F99" s="1" t="s">
        <v>157</v>
      </c>
      <c r="G99" s="11" t="s">
        <v>197</v>
      </c>
      <c r="H99" s="1">
        <v>9</v>
      </c>
      <c r="I99" s="1">
        <v>41</v>
      </c>
      <c r="L99" t="s">
        <v>154</v>
      </c>
      <c r="M99" t="str">
        <f>CONCATENATE("(","'",TEXT(A99,"dd.m.rrrrr"),"'",L99,"'",B99,"'",L99,"'",C99,"'",L99,"'",D99,"'",L99,"'",E99,"'",L99,"'",F99,"'",L99,"'",G99,"'",L99,"'",H99,"'",L99,"'",I99,"'",")")</f>
        <v>('21.12.2018', '28', '28 th round', 'ZLN', 'Friday', 'Home', '5:3', '9', '41')</v>
      </c>
      <c r="W99" t="str">
        <f t="shared" si="1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</v>
      </c>
    </row>
    <row r="100" spans="1:23" x14ac:dyDescent="0.25">
      <c r="A100" s="2">
        <v>43460</v>
      </c>
      <c r="B100" s="1">
        <v>29</v>
      </c>
      <c r="C100" s="1" t="s">
        <v>117</v>
      </c>
      <c r="D100" s="1" t="s">
        <v>9</v>
      </c>
      <c r="E100" s="1" t="s">
        <v>60</v>
      </c>
      <c r="F100" s="1" t="s">
        <v>155</v>
      </c>
      <c r="G100" s="11" t="s">
        <v>180</v>
      </c>
      <c r="H100" s="1">
        <v>8</v>
      </c>
      <c r="I100" s="1">
        <v>44</v>
      </c>
      <c r="L100" t="s">
        <v>154</v>
      </c>
      <c r="M100" t="str">
        <f>CONCATENATE("(","'",TEXT(A100,"dd.m.rrrrr"),"'",L100,"'",B100,"'",L100,"'",C100,"'",L100,"'",D100,"'",L100,"'",E100,"'",L100,"'",F100,"'",L100,"'",G100,"'",L100,"'",H100,"'",L100,"'",I100,"'",")")</f>
        <v>('26.12.2018', '29', '29 th round', 'PAR', 'Wednesday', 'Away', '3:2', '8', '44')</v>
      </c>
      <c r="W100" t="str">
        <f t="shared" si="1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</v>
      </c>
    </row>
    <row r="101" spans="1:23" x14ac:dyDescent="0.25">
      <c r="A101" s="2">
        <v>43462</v>
      </c>
      <c r="B101" s="1">
        <v>30</v>
      </c>
      <c r="C101" s="1" t="s">
        <v>118</v>
      </c>
      <c r="D101" s="1" t="s">
        <v>8</v>
      </c>
      <c r="E101" s="1" t="s">
        <v>55</v>
      </c>
      <c r="F101" s="1" t="s">
        <v>157</v>
      </c>
      <c r="G101" s="11" t="s">
        <v>161</v>
      </c>
      <c r="H101" s="1">
        <v>9</v>
      </c>
      <c r="I101" s="1">
        <v>44</v>
      </c>
      <c r="L101" t="s">
        <v>154</v>
      </c>
      <c r="M101" t="str">
        <f>CONCATENATE("(","'",TEXT(A101,"dd.m.rrrrr"),"'",L101,"'",B101,"'",L101,"'",C101,"'",L101,"'",D101,"'",L101,"'",E101,"'",L101,"'",F101,"'",L101,"'",G101,"'",L101,"'",H101,"'",L101,"'",I101,"'",")")</f>
        <v>('28.12.2018', '30', '30 th round', 'CHO', 'Friday', 'Home', '0:1', '9', '44')</v>
      </c>
      <c r="W101" t="str">
        <f t="shared" si="1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</v>
      </c>
    </row>
    <row r="102" spans="1:23" x14ac:dyDescent="0.25">
      <c r="A102" s="2">
        <v>43464</v>
      </c>
      <c r="B102" s="1">
        <v>31</v>
      </c>
      <c r="C102" s="1" t="s">
        <v>119</v>
      </c>
      <c r="D102" s="1" t="s">
        <v>27</v>
      </c>
      <c r="E102" s="1" t="s">
        <v>57</v>
      </c>
      <c r="F102" s="1" t="s">
        <v>155</v>
      </c>
      <c r="G102" s="11" t="s">
        <v>180</v>
      </c>
      <c r="H102" s="1">
        <v>7</v>
      </c>
      <c r="I102" s="1">
        <v>47</v>
      </c>
      <c r="L102" t="s">
        <v>154</v>
      </c>
      <c r="M102" t="str">
        <f>CONCATENATE("(","'",TEXT(A102,"dd.m.rrrrr"),"'",L102,"'",B102,"'",L102,"'",C102,"'",L102,"'",D102,"'",L102,"'",E102,"'",L102,"'",F102,"'",L102,"'",G102,"'",L102,"'",H102,"'",L102,"'",I102,"'",")")</f>
        <v>('30.12.2018', '31', '31 th round', 'KVA', 'Sunday', 'Away', '3:2', '7', '47')</v>
      </c>
      <c r="W102" t="str">
        <f t="shared" si="1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</v>
      </c>
    </row>
    <row r="103" spans="1:23" x14ac:dyDescent="0.25">
      <c r="A103" s="2">
        <v>43469</v>
      </c>
      <c r="B103" s="1">
        <v>32</v>
      </c>
      <c r="C103" s="1" t="s">
        <v>120</v>
      </c>
      <c r="D103" s="1" t="s">
        <v>4</v>
      </c>
      <c r="E103" s="1" t="s">
        <v>55</v>
      </c>
      <c r="F103" s="1" t="s">
        <v>157</v>
      </c>
      <c r="G103" s="11" t="s">
        <v>169</v>
      </c>
      <c r="H103" s="1">
        <v>8</v>
      </c>
      <c r="I103" s="1">
        <v>47</v>
      </c>
      <c r="L103" t="s">
        <v>154</v>
      </c>
      <c r="M103" t="str">
        <f>CONCATENATE("(","'",TEXT(A103,"dd.m.rrrrr"),"'",L103,"'",B103,"'",L103,"'",C103,"'",L103,"'",D103,"'",L103,"'",E103,"'",L103,"'",F103,"'",L103,"'",G103,"'",L103,"'",H103,"'",L103,"'",I103,"'",")")</f>
        <v>('04.1.2019', '32', '32 th round', 'OLO', 'Friday', 'Home', '1:4', '8', '47')</v>
      </c>
      <c r="W103" t="str">
        <f t="shared" si="1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</v>
      </c>
    </row>
    <row r="104" spans="1:23" x14ac:dyDescent="0.25">
      <c r="A104" s="2">
        <v>43471</v>
      </c>
      <c r="B104" s="1">
        <v>33</v>
      </c>
      <c r="C104" s="1" t="s">
        <v>121</v>
      </c>
      <c r="D104" s="1" t="s">
        <v>6</v>
      </c>
      <c r="E104" s="1" t="s">
        <v>57</v>
      </c>
      <c r="F104" s="1" t="s">
        <v>155</v>
      </c>
      <c r="G104" s="11" t="s">
        <v>169</v>
      </c>
      <c r="H104" s="1">
        <v>10</v>
      </c>
      <c r="I104" s="1">
        <v>47</v>
      </c>
      <c r="L104" t="s">
        <v>154</v>
      </c>
      <c r="M104" t="str">
        <f>CONCATENATE("(","'",TEXT(A104,"dd.m.rrrrr"),"'",L104,"'",B104,"'",L104,"'",C104,"'",L104,"'",D104,"'",L104,"'",E104,"'",L104,"'",F104,"'",L104,"'",G104,"'",L104,"'",H104,"'",L104,"'",I104,"'",")")</f>
        <v>('06.1.2019', '33', '33 th round', 'TRI', 'Sunday', 'Away', '1:4', '10', '47')</v>
      </c>
      <c r="W104" t="str">
        <f t="shared" si="1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</v>
      </c>
    </row>
    <row r="105" spans="1:23" x14ac:dyDescent="0.25">
      <c r="A105" s="2">
        <v>43476</v>
      </c>
      <c r="B105" s="1">
        <v>34</v>
      </c>
      <c r="C105" s="1" t="s">
        <v>122</v>
      </c>
      <c r="D105" s="1" t="s">
        <v>2</v>
      </c>
      <c r="E105" s="1" t="s">
        <v>55</v>
      </c>
      <c r="F105" s="1" t="s">
        <v>157</v>
      </c>
      <c r="G105" s="11" t="s">
        <v>167</v>
      </c>
      <c r="H105" s="1">
        <v>10</v>
      </c>
      <c r="I105" s="1">
        <v>47</v>
      </c>
      <c r="L105" t="s">
        <v>154</v>
      </c>
      <c r="M105" t="str">
        <f>CONCATENATE("(","'",TEXT(A105,"dd.m.rrrrr"),"'",L105,"'",B105,"'",L105,"'",C105,"'",L105,"'",D105,"'",L105,"'",E105,"'",L105,"'",F105,"'",L105,"'",G105,"'",L105,"'",H105,"'",L105,"'",I105,"'",")")</f>
        <v>('11.1.2019', '34', '34 th round', 'HRK', 'Friday', 'Home', '1:2', '10', '47')</v>
      </c>
      <c r="W105" t="str">
        <f t="shared" si="1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</v>
      </c>
    </row>
    <row r="106" spans="1:23" x14ac:dyDescent="0.25">
      <c r="A106" s="2">
        <v>43478</v>
      </c>
      <c r="B106" s="1">
        <v>35</v>
      </c>
      <c r="C106" s="1" t="s">
        <v>123</v>
      </c>
      <c r="D106" s="1" t="s">
        <v>11</v>
      </c>
      <c r="E106" s="1" t="s">
        <v>57</v>
      </c>
      <c r="F106" s="1" t="s">
        <v>155</v>
      </c>
      <c r="G106" s="11" t="s">
        <v>197</v>
      </c>
      <c r="H106" s="1">
        <v>10</v>
      </c>
      <c r="I106" s="1">
        <v>50</v>
      </c>
      <c r="L106" t="s">
        <v>154</v>
      </c>
      <c r="M106" t="str">
        <f>CONCATENATE("(","'",TEXT(A106,"dd.m.rrrrr"),"'",L106,"'",B106,"'",L106,"'",C106,"'",L106,"'",D106,"'",L106,"'",E106,"'",L106,"'",F106,"'",L106,"'",G106,"'",L106,"'",H106,"'",L106,"'",I106,"'",")")</f>
        <v>('13.1.2019', '35', '35 th round', 'BRN', 'Sunday', 'Away', '5:3', '10', '50')</v>
      </c>
      <c r="W106" t="str">
        <f t="shared" si="1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</v>
      </c>
    </row>
    <row r="107" spans="1:23" x14ac:dyDescent="0.25">
      <c r="A107" s="2">
        <v>43483</v>
      </c>
      <c r="B107" s="1">
        <v>36</v>
      </c>
      <c r="C107" s="1" t="s">
        <v>124</v>
      </c>
      <c r="D107" s="1" t="s">
        <v>1</v>
      </c>
      <c r="E107" s="1" t="s">
        <v>55</v>
      </c>
      <c r="F107" s="1" t="s">
        <v>155</v>
      </c>
      <c r="G107" s="11" t="s">
        <v>180</v>
      </c>
      <c r="H107" s="1">
        <v>10</v>
      </c>
      <c r="I107" s="1">
        <v>53</v>
      </c>
      <c r="L107" t="s">
        <v>154</v>
      </c>
      <c r="M107" t="str">
        <f>CONCATENATE("(","'",TEXT(A107,"dd.m.rrrrr"),"'",L107,"'",B107,"'",L107,"'",C107,"'",L107,"'",D107,"'",L107,"'",E107,"'",L107,"'",F107,"'",L107,"'",G107,"'",L107,"'",H107,"'",L107,"'",I107,"'",")")</f>
        <v>('18.1.2019', '36', '36 th round', 'LIB', 'Friday', 'Away', '3:2', '10', '53')</v>
      </c>
      <c r="W107" t="str">
        <f t="shared" si="1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</v>
      </c>
    </row>
    <row r="108" spans="1:23" x14ac:dyDescent="0.25">
      <c r="A108" s="2">
        <v>43485</v>
      </c>
      <c r="B108" s="1">
        <v>37</v>
      </c>
      <c r="C108" s="1" t="s">
        <v>125</v>
      </c>
      <c r="D108" s="1" t="s">
        <v>3</v>
      </c>
      <c r="E108" s="1" t="s">
        <v>57</v>
      </c>
      <c r="F108" s="1" t="s">
        <v>157</v>
      </c>
      <c r="G108" s="11" t="s">
        <v>169</v>
      </c>
      <c r="H108" s="1">
        <v>11</v>
      </c>
      <c r="I108" s="1">
        <v>53</v>
      </c>
      <c r="L108" t="s">
        <v>154</v>
      </c>
      <c r="M108" t="str">
        <f>CONCATENATE("(","'",TEXT(A108,"dd.m.rrrrr"),"'",L108,"'",B108,"'",L108,"'",C108,"'",L108,"'",D108,"'",L108,"'",E108,"'",L108,"'",F108,"'",L108,"'",G108,"'",L108,"'",H108,"'",L108,"'",I108,"'",")")</f>
        <v>('20.1.2019', '37', '37 th round', 'SPA', 'Sunday', 'Home', '1:4', '11', '53')</v>
      </c>
      <c r="W108" t="str">
        <f t="shared" si="1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</v>
      </c>
    </row>
    <row r="109" spans="1:23" x14ac:dyDescent="0.25">
      <c r="A109" s="2">
        <v>43490</v>
      </c>
      <c r="B109" s="1">
        <v>38</v>
      </c>
      <c r="C109" s="1" t="s">
        <v>126</v>
      </c>
      <c r="D109" s="1" t="s">
        <v>0</v>
      </c>
      <c r="E109" s="1" t="s">
        <v>55</v>
      </c>
      <c r="F109" s="1" t="s">
        <v>155</v>
      </c>
      <c r="G109" s="11" t="s">
        <v>171</v>
      </c>
      <c r="H109" s="1">
        <v>11</v>
      </c>
      <c r="I109" s="1">
        <v>53</v>
      </c>
      <c r="L109" t="s">
        <v>154</v>
      </c>
      <c r="M109" t="str">
        <f>CONCATENATE("(","'",TEXT(A109,"dd.m.rrrrr"),"'",L109,"'",B109,"'",L109,"'",C109,"'",L109,"'",D109,"'",L109,"'",E109,"'",L109,"'",F109,"'",L109,"'",G109,"'",L109,"'",H109,"'",L109,"'",I109,"'",")")</f>
        <v>('25.1.2019', '38', '38 th round', 'PLZ', 'Friday', 'Away', '1:7', '11', '53')</v>
      </c>
      <c r="W109" t="str">
        <f t="shared" si="1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</v>
      </c>
    </row>
    <row r="110" spans="1:23" x14ac:dyDescent="0.25">
      <c r="A110" s="2">
        <v>43492</v>
      </c>
      <c r="B110" s="1">
        <v>39</v>
      </c>
      <c r="C110" s="1" t="s">
        <v>127</v>
      </c>
      <c r="D110" s="1" t="s">
        <v>10</v>
      </c>
      <c r="E110" s="1" t="s">
        <v>57</v>
      </c>
      <c r="F110" s="1" t="s">
        <v>157</v>
      </c>
      <c r="G110" s="11" t="s">
        <v>195</v>
      </c>
      <c r="H110" s="4">
        <v>10</v>
      </c>
      <c r="I110" s="4">
        <v>56</v>
      </c>
      <c r="L110" t="s">
        <v>154</v>
      </c>
      <c r="M110" t="str">
        <f>CONCATENATE("(","'",TEXT(A110,"dd.m.rrrrr"),"'",L110,"'",B110,"'",L110,"'",C110,"'",L110,"'",D110,"'",L110,"'",E110,"'",L110,"'",F110,"'",L110,"'",G110,"'",L110,"'",H110,"'",L110,"'",I110,"'",")")</f>
        <v>('27.1.2019', '39', '39 th round', 'VIT', 'Sunday', 'Home', '5:1', '10', '56')</v>
      </c>
      <c r="W110" t="str">
        <f t="shared" si="1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</v>
      </c>
    </row>
    <row r="111" spans="1:23" x14ac:dyDescent="0.25">
      <c r="A111" s="2">
        <v>43494</v>
      </c>
      <c r="B111" s="1">
        <v>40</v>
      </c>
      <c r="C111" s="1" t="s">
        <v>128</v>
      </c>
      <c r="D111" s="1" t="s">
        <v>7</v>
      </c>
      <c r="E111" s="1" t="s">
        <v>59</v>
      </c>
      <c r="F111" s="1" t="s">
        <v>157</v>
      </c>
      <c r="G111" s="11" t="s">
        <v>164</v>
      </c>
      <c r="H111" s="1">
        <v>10</v>
      </c>
      <c r="I111" s="1">
        <v>56</v>
      </c>
      <c r="L111" t="s">
        <v>154</v>
      </c>
      <c r="M111" t="str">
        <f>CONCATENATE("(","'",TEXT(A111,"dd.m.rrrrr"),"'",L111,"'",B111,"'",L111,"'",C111,"'",L111,"'",D111,"'",L111,"'",E111,"'",L111,"'",F111,"'",L111,"'",G111,"'",L111,"'",H111,"'",L111,"'",I111,"'",")")</f>
        <v>('29.1.2019', '40', '40 th round', 'MBO', 'Tuesday', 'Home', '0:4', '10', '56')</v>
      </c>
      <c r="W111" t="str">
        <f t="shared" si="1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</v>
      </c>
    </row>
    <row r="112" spans="1:23" x14ac:dyDescent="0.25">
      <c r="A112" s="2">
        <v>43497</v>
      </c>
      <c r="B112" s="1">
        <v>41</v>
      </c>
      <c r="C112" s="1" t="s">
        <v>129</v>
      </c>
      <c r="D112" s="1" t="s">
        <v>5</v>
      </c>
      <c r="E112" s="1" t="s">
        <v>55</v>
      </c>
      <c r="F112" s="1" t="s">
        <v>155</v>
      </c>
      <c r="G112" s="3" t="s">
        <v>34</v>
      </c>
      <c r="H112" s="1">
        <v>10</v>
      </c>
      <c r="I112" s="1">
        <v>58</v>
      </c>
      <c r="L112" t="s">
        <v>154</v>
      </c>
      <c r="M112" t="str">
        <f>CONCATENATE("(","'",TEXT(A112,"dd.m.rrrrr"),"'",L112,"'",B112,"'",L112,"'",C112,"'",L112,"'",D112,"'",L112,"'",E112,"'",L112,"'",F112,"'",L112,"'",G112,"'",L112,"'",H112,"'",L112,"'",I112,"'",")")</f>
        <v>('01.2.2019', '41', '41 th round', 'ZLN', 'Friday', 'Away', '2:1sn', '10', '58')</v>
      </c>
      <c r="W112" t="str">
        <f t="shared" si="1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</v>
      </c>
    </row>
    <row r="113" spans="1:23" x14ac:dyDescent="0.25">
      <c r="A113" s="2">
        <v>43499</v>
      </c>
      <c r="B113" s="1">
        <v>42</v>
      </c>
      <c r="C113" s="1" t="s">
        <v>130</v>
      </c>
      <c r="D113" s="1" t="s">
        <v>9</v>
      </c>
      <c r="E113" s="1" t="s">
        <v>57</v>
      </c>
      <c r="F113" s="1" t="s">
        <v>157</v>
      </c>
      <c r="G113" s="11" t="s">
        <v>173</v>
      </c>
      <c r="H113" s="1">
        <v>10</v>
      </c>
      <c r="I113" s="1">
        <v>61</v>
      </c>
      <c r="L113" t="s">
        <v>154</v>
      </c>
      <c r="M113" t="str">
        <f>CONCATENATE("(","'",TEXT(A113,"dd.m.rrrrr"),"'",L113,"'",B113,"'",L113,"'",C113,"'",L113,"'",D113,"'",L113,"'",E113,"'",L113,"'",F113,"'",L113,"'",G113,"'",L113,"'",H113,"'",L113,"'",I113,"'",")")</f>
        <v>('03.2.2019', '42', '42 th round', 'PAR', 'Sunday', 'Home', '2:1', '10', '61')</v>
      </c>
      <c r="W113" t="str">
        <f t="shared" si="1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</v>
      </c>
    </row>
    <row r="114" spans="1:23" x14ac:dyDescent="0.25">
      <c r="A114" s="2">
        <v>43509</v>
      </c>
      <c r="B114" s="1">
        <v>43</v>
      </c>
      <c r="C114" s="1" t="s">
        <v>131</v>
      </c>
      <c r="D114" s="1" t="s">
        <v>8</v>
      </c>
      <c r="E114" s="1" t="s">
        <v>60</v>
      </c>
      <c r="F114" s="1" t="s">
        <v>155</v>
      </c>
      <c r="G114" s="11" t="s">
        <v>169</v>
      </c>
      <c r="H114" s="1">
        <v>10</v>
      </c>
      <c r="I114" s="1">
        <v>61</v>
      </c>
      <c r="L114" t="s">
        <v>154</v>
      </c>
      <c r="M114" t="str">
        <f>CONCATENATE("(","'",TEXT(A114,"dd.m.rrrrr"),"'",L114,"'",B114,"'",L114,"'",C114,"'",L114,"'",D114,"'",L114,"'",E114,"'",L114,"'",F114,"'",L114,"'",G114,"'",L114,"'",H114,"'",L114,"'",I114,"'",")")</f>
        <v>('13.2.2019', '43', '43 th round', 'CHO', 'Wednesday', 'Away', '1:4', '10', '61')</v>
      </c>
      <c r="W114" t="str">
        <f t="shared" si="1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</v>
      </c>
    </row>
    <row r="115" spans="1:23" x14ac:dyDescent="0.25">
      <c r="A115" s="2">
        <v>43511</v>
      </c>
      <c r="B115" s="1">
        <v>44</v>
      </c>
      <c r="C115" s="1" t="s">
        <v>132</v>
      </c>
      <c r="D115" s="1" t="s">
        <v>27</v>
      </c>
      <c r="E115" s="1" t="s">
        <v>55</v>
      </c>
      <c r="F115" s="1" t="s">
        <v>157</v>
      </c>
      <c r="G115" s="3" t="s">
        <v>39</v>
      </c>
      <c r="H115" s="1">
        <v>10</v>
      </c>
      <c r="I115" s="1">
        <v>63</v>
      </c>
      <c r="L115" t="s">
        <v>154</v>
      </c>
      <c r="M115" t="str">
        <f>CONCATENATE("(","'",TEXT(A115,"dd.m.rrrrr"),"'",L115,"'",B115,"'",L115,"'",C115,"'",L115,"'",D115,"'",L115,"'",E115,"'",L115,"'",F115,"'",L115,"'",G115,"'",L115,"'",H115,"'",L115,"'",I115,"'",")")</f>
        <v>('15.2.2019', '44', '44 th round', 'KVA', 'Friday', 'Home', '5:4pp', '10', '63')</v>
      </c>
      <c r="W115" t="str">
        <f t="shared" si="1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</v>
      </c>
    </row>
    <row r="116" spans="1:23" x14ac:dyDescent="0.25">
      <c r="A116" s="2">
        <v>43513</v>
      </c>
      <c r="B116" s="1">
        <v>45</v>
      </c>
      <c r="C116" s="1" t="s">
        <v>133</v>
      </c>
      <c r="D116" s="1" t="s">
        <v>4</v>
      </c>
      <c r="E116" s="1" t="s">
        <v>57</v>
      </c>
      <c r="F116" s="1" t="s">
        <v>155</v>
      </c>
      <c r="G116" s="3" t="s">
        <v>39</v>
      </c>
      <c r="H116" s="1">
        <v>10</v>
      </c>
      <c r="I116" s="1">
        <v>65</v>
      </c>
      <c r="L116" t="s">
        <v>154</v>
      </c>
      <c r="M116" t="str">
        <f>CONCATENATE("(","'",TEXT(A116,"dd.m.rrrrr"),"'",L116,"'",B116,"'",L116,"'",C116,"'",L116,"'",D116,"'",L116,"'",E116,"'",L116,"'",F116,"'",L116,"'",G116,"'",L116,"'",H116,"'",L116,"'",I116,"'",")")</f>
        <v>('17.2.2019', '45', '45 th round', 'OLO', 'Sunday', 'Away', '5:4pp', '10', '65')</v>
      </c>
      <c r="W116" t="str">
        <f t="shared" si="1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</v>
      </c>
    </row>
    <row r="117" spans="1:23" x14ac:dyDescent="0.25">
      <c r="A117" s="2">
        <v>43515</v>
      </c>
      <c r="B117" s="1">
        <v>46</v>
      </c>
      <c r="C117" s="1" t="s">
        <v>134</v>
      </c>
      <c r="D117" s="1" t="s">
        <v>6</v>
      </c>
      <c r="E117" s="1" t="s">
        <v>59</v>
      </c>
      <c r="F117" s="1" t="s">
        <v>157</v>
      </c>
      <c r="G117" s="11" t="s">
        <v>165</v>
      </c>
      <c r="H117" s="1">
        <v>11</v>
      </c>
      <c r="I117" s="1">
        <v>65</v>
      </c>
      <c r="L117" t="s">
        <v>154</v>
      </c>
      <c r="M117" t="str">
        <f>CONCATENATE("(","'",TEXT(A117,"dd.m.rrrrr"),"'",L117,"'",B117,"'",L117,"'",C117,"'",L117,"'",D117,"'",L117,"'",E117,"'",L117,"'",F117,"'",L117,"'",G117,"'",L117,"'",H117,"'",L117,"'",I117,"'",")")</f>
        <v>('19.2.2019', '46', '46 th round', 'TRI', 'Tuesday', 'Home', '0:5', '11', '65')</v>
      </c>
      <c r="W117" t="str">
        <f t="shared" si="1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</v>
      </c>
    </row>
    <row r="118" spans="1:23" x14ac:dyDescent="0.25">
      <c r="A118" s="2">
        <v>43518</v>
      </c>
      <c r="B118" s="1">
        <v>47</v>
      </c>
      <c r="C118" s="1" t="s">
        <v>135</v>
      </c>
      <c r="D118" s="1" t="s">
        <v>2</v>
      </c>
      <c r="E118" s="1" t="s">
        <v>55</v>
      </c>
      <c r="F118" s="1" t="s">
        <v>155</v>
      </c>
      <c r="G118" s="11" t="s">
        <v>169</v>
      </c>
      <c r="H118" s="1">
        <v>11</v>
      </c>
      <c r="I118" s="1">
        <v>65</v>
      </c>
      <c r="L118" t="s">
        <v>154</v>
      </c>
      <c r="M118" t="str">
        <f>CONCATENATE("(","'",TEXT(A118,"dd.m.rrrrr"),"'",L118,"'",B118,"'",L118,"'",C118,"'",L118,"'",D118,"'",L118,"'",E118,"'",L118,"'",F118,"'",L118,"'",G118,"'",L118,"'",H118,"'",L118,"'",I118,"'",")")</f>
        <v>('22.2.2019', '47', '47 th round', 'HRK', 'Friday', 'Away', '1:4', '11', '65')</v>
      </c>
      <c r="W118" t="str">
        <f t="shared" si="1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</v>
      </c>
    </row>
    <row r="119" spans="1:23" x14ac:dyDescent="0.25">
      <c r="A119" s="2">
        <v>43520</v>
      </c>
      <c r="B119" s="1">
        <v>48</v>
      </c>
      <c r="C119" s="1" t="s">
        <v>136</v>
      </c>
      <c r="D119" s="1" t="s">
        <v>11</v>
      </c>
      <c r="E119" s="1" t="s">
        <v>57</v>
      </c>
      <c r="F119" s="1" t="s">
        <v>157</v>
      </c>
      <c r="G119" s="11" t="s">
        <v>181</v>
      </c>
      <c r="H119" s="1">
        <v>11</v>
      </c>
      <c r="I119" s="1">
        <v>65</v>
      </c>
      <c r="L119" t="s">
        <v>154</v>
      </c>
      <c r="M119" t="str">
        <f>CONCATENATE("(","'",TEXT(A119,"dd.m.rrrrr"),"'",L119,"'",B119,"'",L119,"'",C119,"'",L119,"'",D119,"'",L119,"'",E119,"'",L119,"'",F119,"'",L119,"'",G119,"'",L119,"'",H119,"'",L119,"'",I119,"'",")")</f>
        <v>('24.2.2019', '48', '48 th round', 'BRN', 'Sunday', 'Home', '3:4', '11', '65')</v>
      </c>
      <c r="W119" t="str">
        <f t="shared" si="1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</v>
      </c>
    </row>
    <row r="120" spans="1:23" x14ac:dyDescent="0.25">
      <c r="A120" s="2">
        <v>43525</v>
      </c>
      <c r="B120" s="1">
        <v>49</v>
      </c>
      <c r="C120" s="1" t="s">
        <v>137</v>
      </c>
      <c r="D120" s="1" t="s">
        <v>1</v>
      </c>
      <c r="E120" s="1" t="s">
        <v>55</v>
      </c>
      <c r="F120" s="1" t="s">
        <v>157</v>
      </c>
      <c r="G120" s="11" t="s">
        <v>202</v>
      </c>
      <c r="H120" s="1">
        <v>11</v>
      </c>
      <c r="I120" s="1">
        <v>68</v>
      </c>
      <c r="L120" t="s">
        <v>154</v>
      </c>
      <c r="M120" t="str">
        <f>CONCATENATE("(","'",TEXT(A120,"dd.m.rrrrr"),"'",L120,"'",B120,"'",L120,"'",C120,"'",L120,"'",D120,"'",L120,"'",E120,"'",L120,"'",F120,"'",L120,"'",G120,"'",L120,"'",H120,"'",L120,"'",I120,"'",")")</f>
        <v>('01.3.2019', '49', '49 th round', 'LIB', 'Friday', 'Home', '6:3', '11', '68')</v>
      </c>
      <c r="W120" t="str">
        <f t="shared" si="1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</v>
      </c>
    </row>
    <row r="121" spans="1:23" x14ac:dyDescent="0.25">
      <c r="A121" s="2">
        <v>43527</v>
      </c>
      <c r="B121" s="1">
        <v>50</v>
      </c>
      <c r="C121" s="1" t="s">
        <v>138</v>
      </c>
      <c r="D121" s="1" t="s">
        <v>3</v>
      </c>
      <c r="E121" s="1" t="s">
        <v>57</v>
      </c>
      <c r="F121" s="1" t="s">
        <v>155</v>
      </c>
      <c r="G121" s="11" t="s">
        <v>182</v>
      </c>
      <c r="H121" s="1">
        <v>11</v>
      </c>
      <c r="I121" s="1">
        <v>68</v>
      </c>
      <c r="L121" t="s">
        <v>154</v>
      </c>
      <c r="M121" t="str">
        <f>CONCATENATE("(","'",TEXT(A121,"dd.m.rrrrr"),"'",L121,"'",B121,"'",L121,"'",C121,"'",L121,"'",D121,"'",L121,"'",E121,"'",L121,"'",F121,"'",L121,"'",G121,"'",L121,"'",H121,"'",L121,"'",I121,"'",")")</f>
        <v>('03.3.2019', '50', '50 th round', 'SPA', 'Sunday', 'Away', '3:5', '11', '68')</v>
      </c>
      <c r="W121" t="str">
        <f t="shared" si="1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</v>
      </c>
    </row>
    <row r="122" spans="1:23" x14ac:dyDescent="0.25">
      <c r="A122" s="2">
        <v>43529</v>
      </c>
      <c r="B122" s="1">
        <v>51</v>
      </c>
      <c r="C122" s="1" t="s">
        <v>139</v>
      </c>
      <c r="D122" s="1" t="s">
        <v>0</v>
      </c>
      <c r="E122" s="1" t="s">
        <v>59</v>
      </c>
      <c r="F122" s="1" t="s">
        <v>157</v>
      </c>
      <c r="G122" s="11" t="s">
        <v>195</v>
      </c>
      <c r="H122" s="1">
        <v>11</v>
      </c>
      <c r="I122" s="1">
        <v>71</v>
      </c>
      <c r="L122" t="s">
        <v>154</v>
      </c>
      <c r="M122" t="str">
        <f>CONCATENATE("(","'",TEXT(A122,"dd.m.rrrrr"),"'",L122,"'",B122,"'",L122,"'",C122,"'",L122,"'",D122,"'",L122,"'",E122,"'",L122,"'",F122,"'",L122,"'",G122,"'",L122,"'",H122,"'",L122,"'",I122,"'",")")</f>
        <v>('05.3.2019', '51', '51 th round', 'PLZ', 'Tuesday', 'Home', '5:1', '11', '71')</v>
      </c>
      <c r="W122" t="str">
        <f t="shared" si="1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</v>
      </c>
    </row>
    <row r="123" spans="1:23" x14ac:dyDescent="0.25">
      <c r="A123" s="2">
        <v>43532</v>
      </c>
      <c r="B123" s="1">
        <v>52</v>
      </c>
      <c r="C123" s="1" t="s">
        <v>140</v>
      </c>
      <c r="D123" s="1" t="s">
        <v>10</v>
      </c>
      <c r="E123" s="1" t="s">
        <v>55</v>
      </c>
      <c r="F123" s="1" t="s">
        <v>155</v>
      </c>
      <c r="G123" s="11" t="s">
        <v>160</v>
      </c>
      <c r="H123" s="1">
        <v>11</v>
      </c>
      <c r="I123" s="1">
        <v>71</v>
      </c>
      <c r="L123" t="s">
        <v>154</v>
      </c>
      <c r="M123" t="str">
        <f>CONCATENATE("(","'",TEXT(A123,"dd.m.rrrrr"),"'",L123,"'",B123,"'",L123,"'",C123,"'",L123,"'",D123,"'",L123,"'",E123,"'",L123,"'",F123,"'",L123,"'",G123,"'",L123,"'",H123,"'",L123,"'",I123,"'",")")</f>
        <v>('08.3.2019', '52', '52 th round', 'VIT', 'Friday', 'Away', '1:5', '11', '71')</v>
      </c>
      <c r="W123" t="str">
        <f t="shared" si="1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</v>
      </c>
    </row>
    <row r="124" spans="1:23" x14ac:dyDescent="0.25">
      <c r="A124" s="2">
        <v>43536</v>
      </c>
      <c r="B124" s="1">
        <v>53</v>
      </c>
      <c r="C124" s="1" t="s">
        <v>41</v>
      </c>
      <c r="D124" s="1" t="s">
        <v>9</v>
      </c>
      <c r="E124" s="1" t="s">
        <v>59</v>
      </c>
      <c r="F124" s="1" t="s">
        <v>157</v>
      </c>
      <c r="G124" s="11" t="s">
        <v>202</v>
      </c>
      <c r="H124" s="1">
        <v>11</v>
      </c>
      <c r="I124" s="1">
        <v>74</v>
      </c>
      <c r="L124" t="s">
        <v>154</v>
      </c>
      <c r="M124" t="str">
        <f>CONCATENATE("(","'",TEXT(A124,"dd.m.rrrrr"),"'",L124,"'",B124,"'",L124,"'",C124,"'",L124,"'",D124,"'",L124,"'",E124,"'",L124,"'",F124,"'",L124,"'",G124,"'",L124,"'",H124,"'",L124,"'",I124,"'",")")</f>
        <v>('12.3.2019', '53', 'PLAYOUT 1', 'PAR', 'Tuesday', 'Home', '6:3', '11', '74')</v>
      </c>
      <c r="W124" t="str">
        <f t="shared" si="1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</v>
      </c>
    </row>
    <row r="125" spans="1:23" x14ac:dyDescent="0.25">
      <c r="A125" s="2">
        <v>43539</v>
      </c>
      <c r="B125" s="1">
        <v>54</v>
      </c>
      <c r="C125" s="1" t="s">
        <v>42</v>
      </c>
      <c r="D125" s="1" t="s">
        <v>8</v>
      </c>
      <c r="E125" s="1" t="s">
        <v>55</v>
      </c>
      <c r="F125" s="1" t="s">
        <v>155</v>
      </c>
      <c r="G125" s="11" t="s">
        <v>188</v>
      </c>
      <c r="H125" s="1">
        <v>11</v>
      </c>
      <c r="I125" s="1">
        <v>77</v>
      </c>
      <c r="L125" t="s">
        <v>154</v>
      </c>
      <c r="M125" t="str">
        <f>CONCATENATE("(","'",TEXT(A125,"dd.m.rrrrr"),"'",L125,"'",B125,"'",L125,"'",C125,"'",L125,"'",D125,"'",L125,"'",E125,"'",L125,"'",F125,"'",L125,"'",G125,"'",L125,"'",H125,"'",L125,"'",I125,"'",")")</f>
        <v>('15.3.2019', '54', 'PLAYOUT 2', 'CHO', 'Friday', 'Away', '4:2', '11', '77')</v>
      </c>
      <c r="W125" t="str">
        <f t="shared" si="1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</v>
      </c>
    </row>
    <row r="126" spans="1:23" x14ac:dyDescent="0.25">
      <c r="A126" s="2">
        <v>43541</v>
      </c>
      <c r="B126" s="1">
        <v>55</v>
      </c>
      <c r="C126" s="1" t="s">
        <v>43</v>
      </c>
      <c r="D126" s="1" t="s">
        <v>27</v>
      </c>
      <c r="E126" s="1" t="s">
        <v>57</v>
      </c>
      <c r="F126" s="1" t="s">
        <v>157</v>
      </c>
      <c r="G126" s="11" t="s">
        <v>183</v>
      </c>
      <c r="H126" s="1">
        <v>11</v>
      </c>
      <c r="I126" s="1">
        <v>77</v>
      </c>
      <c r="L126" t="s">
        <v>154</v>
      </c>
      <c r="M126" t="str">
        <f>CONCATENATE("(","'",TEXT(A126,"dd.m.rrrrr"),"'",L126,"'",B126,"'",L126,"'",C126,"'",L126,"'",D126,"'",L126,"'",E126,"'",L126,"'",F126,"'",L126,"'",G126,"'",L126,"'",H126,"'",L126,"'",I126,"'",")")</f>
        <v>('17.3.2019', '55', 'PLAYOUT 3', 'KVA', 'Sunday', 'Home', '3:6', '11', '77')</v>
      </c>
      <c r="W126" t="str">
        <f t="shared" si="1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</v>
      </c>
    </row>
    <row r="127" spans="1:23" x14ac:dyDescent="0.25">
      <c r="A127" s="2">
        <v>43543</v>
      </c>
      <c r="B127" s="1">
        <v>56</v>
      </c>
      <c r="C127" s="1" t="s">
        <v>44</v>
      </c>
      <c r="D127" s="1" t="s">
        <v>27</v>
      </c>
      <c r="E127" s="1" t="s">
        <v>59</v>
      </c>
      <c r="F127" s="1" t="s">
        <v>155</v>
      </c>
      <c r="G127" s="3" t="s">
        <v>39</v>
      </c>
      <c r="H127" s="1">
        <v>11</v>
      </c>
      <c r="I127" s="1">
        <v>79</v>
      </c>
      <c r="L127" t="s">
        <v>154</v>
      </c>
      <c r="M127" t="str">
        <f>CONCATENATE("(","'",TEXT(A127,"dd.m.rrrrr"),"'",L127,"'",B127,"'",L127,"'",C127,"'",L127,"'",D127,"'",L127,"'",E127,"'",L127,"'",F127,"'",L127,"'",G127,"'",L127,"'",H127,"'",L127,"'",I127,"'",")")</f>
        <v>('19.3.2019', '56', 'PLAYOUT 4', 'KVA', 'Tuesday', 'Away', '5:4pp', '11', '79')</v>
      </c>
      <c r="W127" t="str">
        <f t="shared" si="1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</v>
      </c>
    </row>
    <row r="128" spans="1:23" x14ac:dyDescent="0.25">
      <c r="A128" s="2">
        <v>43546</v>
      </c>
      <c r="B128" s="1">
        <v>57</v>
      </c>
      <c r="C128" s="1" t="s">
        <v>45</v>
      </c>
      <c r="D128" s="1" t="s">
        <v>9</v>
      </c>
      <c r="E128" s="1" t="s">
        <v>55</v>
      </c>
      <c r="F128" s="1" t="s">
        <v>155</v>
      </c>
      <c r="G128" s="11" t="s">
        <v>196</v>
      </c>
      <c r="H128" s="1">
        <v>11</v>
      </c>
      <c r="I128" s="1">
        <v>82</v>
      </c>
      <c r="L128" t="s">
        <v>154</v>
      </c>
      <c r="M128" t="str">
        <f>CONCATENATE("(","'",TEXT(A128,"dd.m.rrrrr"),"'",L128,"'",B128,"'",L128,"'",C128,"'",L128,"'",D128,"'",L128,"'",E128,"'",L128,"'",F128,"'",L128,"'",G128,"'",L128,"'",H128,"'",L128,"'",I128,"'",")")</f>
        <v>('22.3.2019', '57', 'PLAYOUT 5', 'PAR', 'Friday', 'Away', '5:2', '11', '82')</v>
      </c>
      <c r="W128" t="str">
        <f t="shared" si="1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</v>
      </c>
    </row>
    <row r="129" spans="1:23" x14ac:dyDescent="0.25">
      <c r="A129" s="2">
        <v>43548</v>
      </c>
      <c r="B129" s="1">
        <v>58</v>
      </c>
      <c r="C129" s="1" t="s">
        <v>46</v>
      </c>
      <c r="D129" s="1" t="s">
        <v>8</v>
      </c>
      <c r="E129" s="1" t="s">
        <v>57</v>
      </c>
      <c r="F129" s="1" t="s">
        <v>157</v>
      </c>
      <c r="G129" s="11" t="s">
        <v>188</v>
      </c>
      <c r="H129" s="1">
        <v>11</v>
      </c>
      <c r="I129" s="1">
        <v>85</v>
      </c>
      <c r="L129" t="s">
        <v>154</v>
      </c>
      <c r="M129" t="str">
        <f>CONCATENATE("(","'",TEXT(A129,"dd.m.rrrrr"),"'",L129,"'",B129,"'",L129,"'",C129,"'",L129,"'",D129,"'",L129,"'",E129,"'",L129,"'",F129,"'",L129,"'",G129,"'",L129,"'",H129,"'",L129,"'",I129,"'",")")</f>
        <v>('24.3.2019', '58', 'PLAYOUT 6', 'CHO', 'Sunday', 'Home', '4:2', '11', '85')</v>
      </c>
      <c r="W129" t="str">
        <f t="shared" si="1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</v>
      </c>
    </row>
    <row r="130" spans="1:23" x14ac:dyDescent="0.25">
      <c r="A130" s="2">
        <v>43721</v>
      </c>
      <c r="B130" s="1">
        <v>1</v>
      </c>
      <c r="C130" s="1" t="s">
        <v>64</v>
      </c>
      <c r="D130" s="1" t="s">
        <v>11</v>
      </c>
      <c r="E130" s="1" t="s">
        <v>55</v>
      </c>
      <c r="F130" s="1" t="s">
        <v>157</v>
      </c>
      <c r="G130" s="11" t="s">
        <v>173</v>
      </c>
      <c r="H130" s="1">
        <v>3</v>
      </c>
      <c r="I130" s="1">
        <v>3</v>
      </c>
      <c r="L130" t="s">
        <v>154</v>
      </c>
      <c r="M130" t="str">
        <f>CONCATENATE("(","'",TEXT(A130,"dd.m.rrrrr"),"'",L130,"'",B130,"'",L130,"'",C130,"'",L130,"'",D130,"'",L130,"'",E130,"'",L130,"'",F130,"'",L130,"'",G130,"'",L130,"'",H130,"'",L130,"'",I130,"'",")")</f>
        <v>('13.9.2019', '1', '1st round', 'BRN', 'Friday', 'Home', '2:1', '3', '3')</v>
      </c>
      <c r="W130" t="str">
        <f t="shared" si="1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</v>
      </c>
    </row>
    <row r="131" spans="1:23" x14ac:dyDescent="0.25">
      <c r="A131" s="2">
        <v>43723</v>
      </c>
      <c r="B131" s="1">
        <v>2</v>
      </c>
      <c r="C131" s="1" t="s">
        <v>65</v>
      </c>
      <c r="D131" s="1" t="s">
        <v>0</v>
      </c>
      <c r="E131" s="1" t="s">
        <v>57</v>
      </c>
      <c r="F131" s="1" t="s">
        <v>155</v>
      </c>
      <c r="G131" s="11" t="s">
        <v>162</v>
      </c>
      <c r="H131" s="1">
        <v>10</v>
      </c>
      <c r="I131" s="1">
        <v>3</v>
      </c>
      <c r="L131" t="s">
        <v>154</v>
      </c>
      <c r="M131" t="str">
        <f>CONCATENATE("(","'",TEXT(A131,"dd.m.rrrrr"),"'",L131,"'",B131,"'",L131,"'",C131,"'",L131,"'",D131,"'",L131,"'",E131,"'",L131,"'",F131,"'",L131,"'",G131,"'",L131,"'",H131,"'",L131,"'",I131,"'",")")</f>
        <v>('15.9.2019', '2', '2nd round', 'PLZ', 'Sunday', 'Away', '0:2', '10', '3')</v>
      </c>
      <c r="W131" t="str">
        <f t="shared" si="1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</v>
      </c>
    </row>
    <row r="132" spans="1:23" x14ac:dyDescent="0.25">
      <c r="A132" s="2">
        <v>43728</v>
      </c>
      <c r="B132" s="1">
        <v>3</v>
      </c>
      <c r="C132" s="1" t="s">
        <v>66</v>
      </c>
      <c r="D132" s="1" t="s">
        <v>9</v>
      </c>
      <c r="E132" s="1" t="s">
        <v>55</v>
      </c>
      <c r="F132" s="1" t="s">
        <v>157</v>
      </c>
      <c r="G132" s="11" t="s">
        <v>167</v>
      </c>
      <c r="H132" s="1">
        <v>11</v>
      </c>
      <c r="I132" s="1">
        <v>3</v>
      </c>
      <c r="L132" t="s">
        <v>154</v>
      </c>
      <c r="M132" t="str">
        <f>CONCATENATE("(","'",TEXT(A132,"dd.m.rrrrr"),"'",L132,"'",B132,"'",L132,"'",C132,"'",L132,"'",D132,"'",L132,"'",E132,"'",L132,"'",F132,"'",L132,"'",G132,"'",L132,"'",H132,"'",L132,"'",I132,"'",")")</f>
        <v>('20.9.2019', '3', '3rd round', 'PAR', 'Friday', 'Home', '1:2', '11', '3')</v>
      </c>
      <c r="W132" t="str">
        <f t="shared" si="1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</v>
      </c>
    </row>
    <row r="133" spans="1:23" x14ac:dyDescent="0.25">
      <c r="A133" s="2">
        <v>43730</v>
      </c>
      <c r="B133" s="1">
        <v>4</v>
      </c>
      <c r="C133" s="1" t="s">
        <v>92</v>
      </c>
      <c r="D133" s="1" t="s">
        <v>6</v>
      </c>
      <c r="E133" s="1" t="s">
        <v>57</v>
      </c>
      <c r="F133" s="1" t="s">
        <v>155</v>
      </c>
      <c r="G133" s="11" t="s">
        <v>174</v>
      </c>
      <c r="H133" s="1">
        <v>12</v>
      </c>
      <c r="I133" s="1">
        <v>3</v>
      </c>
      <c r="L133" t="s">
        <v>154</v>
      </c>
      <c r="M133" t="str">
        <f>CONCATENATE("(","'",TEXT(A133,"dd.m.rrrrr"),"'",L133,"'",B133,"'",L133,"'",C133,"'",L133,"'",D133,"'",L133,"'",E133,"'",L133,"'",F133,"'",L133,"'",G133,"'",L133,"'",H133,"'",L133,"'",I133,"'",")")</f>
        <v>('22.9.2019', '4', '4 th round', 'TRI', 'Sunday', 'Away', '2:3', '12', '3')</v>
      </c>
      <c r="W133" t="str">
        <f t="shared" ref="W133:W196" si="2">CONCATENATE(W132,", ",M133)</f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</v>
      </c>
    </row>
    <row r="134" spans="1:23" x14ac:dyDescent="0.25">
      <c r="A134" s="2">
        <v>43735</v>
      </c>
      <c r="B134" s="1">
        <v>5</v>
      </c>
      <c r="C134" s="1" t="s">
        <v>93</v>
      </c>
      <c r="D134" s="1" t="s">
        <v>1</v>
      </c>
      <c r="E134" s="1" t="s">
        <v>55</v>
      </c>
      <c r="F134" s="1" t="s">
        <v>157</v>
      </c>
      <c r="G134" s="11" t="s">
        <v>190</v>
      </c>
      <c r="H134" s="1">
        <v>13</v>
      </c>
      <c r="I134" s="1">
        <v>3</v>
      </c>
      <c r="L134" t="s">
        <v>154</v>
      </c>
      <c r="M134" t="str">
        <f>CONCATENATE("(","'",TEXT(A134,"dd.m.rrrrr"),"'",L134,"'",B134,"'",L134,"'",C134,"'",L134,"'",D134,"'",L134,"'",E134,"'",L134,"'",F134,"'",L134,"'",G134,"'",L134,"'",H134,"'",L134,"'",I134,"'",")")</f>
        <v>('27.9.2019', '5', '5 th round', 'LIB', 'Friday', 'Home', '4:5', '13', '3')</v>
      </c>
      <c r="W134" t="str">
        <f t="shared" si="2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</v>
      </c>
    </row>
    <row r="135" spans="1:23" x14ac:dyDescent="0.25">
      <c r="A135" s="2">
        <v>43742</v>
      </c>
      <c r="B135" s="1">
        <v>6</v>
      </c>
      <c r="C135" s="1" t="s">
        <v>95</v>
      </c>
      <c r="D135" s="1" t="s">
        <v>7</v>
      </c>
      <c r="E135" s="1" t="s">
        <v>55</v>
      </c>
      <c r="F135" s="1" t="s">
        <v>155</v>
      </c>
      <c r="G135" s="11" t="s">
        <v>160</v>
      </c>
      <c r="H135" s="1">
        <v>12</v>
      </c>
      <c r="I135" s="1">
        <v>3</v>
      </c>
      <c r="L135" t="s">
        <v>154</v>
      </c>
      <c r="M135" t="str">
        <f>CONCATENATE("(","'",TEXT(A135,"dd.m.rrrrr"),"'",L135,"'",B135,"'",L135,"'",C135,"'",L135,"'",D135,"'",L135,"'",E135,"'",L135,"'",F135,"'",L135,"'",G135,"'",L135,"'",H135,"'",L135,"'",I135,"'",")")</f>
        <v>('04.10.2019', '6', '7 th round', 'MBO', 'Friday', 'Away', '1:5', '12', '3')</v>
      </c>
      <c r="W135" t="str">
        <f t="shared" si="2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</v>
      </c>
    </row>
    <row r="136" spans="1:23" x14ac:dyDescent="0.25">
      <c r="A136" s="2">
        <v>43744</v>
      </c>
      <c r="B136" s="1">
        <v>7</v>
      </c>
      <c r="C136" s="1" t="s">
        <v>96</v>
      </c>
      <c r="D136" s="1" t="s">
        <v>2</v>
      </c>
      <c r="E136" s="1" t="s">
        <v>57</v>
      </c>
      <c r="F136" s="1" t="s">
        <v>157</v>
      </c>
      <c r="G136" s="11" t="s">
        <v>204</v>
      </c>
      <c r="H136" s="1">
        <v>12</v>
      </c>
      <c r="I136" s="1">
        <v>6</v>
      </c>
      <c r="L136" t="s">
        <v>154</v>
      </c>
      <c r="M136" t="str">
        <f>CONCATENATE("(","'",TEXT(A136,"dd.m.rrrrr"),"'",L136,"'",B136,"'",L136,"'",C136,"'",L136,"'",D136,"'",L136,"'",E136,"'",L136,"'",F136,"'",L136,"'",G136,"'",L136,"'",H136,"'",L136,"'",I136,"'",")")</f>
        <v>('06.10.2019', '7', '8 th round', 'HRK', 'Sunday', 'Home', '6:5', '12', '6')</v>
      </c>
      <c r="W136" t="str">
        <f t="shared" si="2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</v>
      </c>
    </row>
    <row r="137" spans="1:23" x14ac:dyDescent="0.25">
      <c r="A137" s="2">
        <v>43747</v>
      </c>
      <c r="B137" s="1">
        <v>8</v>
      </c>
      <c r="C137" s="1" t="s">
        <v>97</v>
      </c>
      <c r="D137" s="1" t="s">
        <v>27</v>
      </c>
      <c r="E137" s="1" t="s">
        <v>60</v>
      </c>
      <c r="F137" s="1" t="s">
        <v>155</v>
      </c>
      <c r="G137" s="3" t="s">
        <v>18</v>
      </c>
      <c r="H137" s="1">
        <v>12</v>
      </c>
      <c r="I137" s="1">
        <v>7</v>
      </c>
      <c r="L137" t="s">
        <v>154</v>
      </c>
      <c r="M137" t="str">
        <f>CONCATENATE("(","'",TEXT(A137,"dd.m.rrrrr"),"'",L137,"'",B137,"'",L137,"'",C137,"'",L137,"'",D137,"'",L137,"'",E137,"'",L137,"'",F137,"'",L137,"'",G137,"'",L137,"'",H137,"'",L137,"'",I137,"'",")")</f>
        <v>('09.10.2019', '8', '9 th round', 'KVA', 'Wednesday', 'Away', '3:4pp', '12', '7')</v>
      </c>
      <c r="W137" t="str">
        <f t="shared" si="2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</v>
      </c>
    </row>
    <row r="138" spans="1:23" x14ac:dyDescent="0.25">
      <c r="A138" s="2">
        <v>43751</v>
      </c>
      <c r="B138" s="1">
        <v>9</v>
      </c>
      <c r="C138" s="1" t="s">
        <v>98</v>
      </c>
      <c r="D138" s="1" t="s">
        <v>5</v>
      </c>
      <c r="E138" s="1" t="s">
        <v>57</v>
      </c>
      <c r="F138" s="1" t="s">
        <v>157</v>
      </c>
      <c r="G138" s="11" t="s">
        <v>195</v>
      </c>
      <c r="H138" s="1">
        <v>12</v>
      </c>
      <c r="I138" s="1">
        <v>10</v>
      </c>
      <c r="L138" t="s">
        <v>154</v>
      </c>
      <c r="M138" t="str">
        <f>CONCATENATE("(","'",TEXT(A138,"dd.m.rrrrr"),"'",L138,"'",B138,"'",L138,"'",C138,"'",L138,"'",D138,"'",L138,"'",E138,"'",L138,"'",F138,"'",L138,"'",G138,"'",L138,"'",H138,"'",L138,"'",I138,"'",")")</f>
        <v>('13.10.2019', '9', '10 th round', 'ZLN', 'Sunday', 'Home', '5:1', '12', '10')</v>
      </c>
      <c r="W138" t="str">
        <f t="shared" si="2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</v>
      </c>
    </row>
    <row r="139" spans="1:23" x14ac:dyDescent="0.25">
      <c r="A139" s="2">
        <v>43753</v>
      </c>
      <c r="B139" s="1">
        <v>10</v>
      </c>
      <c r="C139" s="1" t="s">
        <v>94</v>
      </c>
      <c r="D139" s="1" t="s">
        <v>3</v>
      </c>
      <c r="E139" s="1" t="s">
        <v>59</v>
      </c>
      <c r="F139" s="1" t="s">
        <v>155</v>
      </c>
      <c r="G139" s="3" t="s">
        <v>35</v>
      </c>
      <c r="H139" s="1">
        <v>12</v>
      </c>
      <c r="I139" s="1">
        <v>11</v>
      </c>
      <c r="L139" t="s">
        <v>154</v>
      </c>
      <c r="M139" t="str">
        <f>CONCATENATE("(","'",TEXT(A139,"dd.m.rrrrr"),"'",L139,"'",B139,"'",L139,"'",C139,"'",L139,"'",D139,"'",L139,"'",E139,"'",L139,"'",F139,"'",L139,"'",G139,"'",L139,"'",H139,"'",L139,"'",I139,"'",")")</f>
        <v>('15.10.2019', '10', '6 th round', 'SPA', 'Tuesday', 'Away', '4:5pp', '12', '11')</v>
      </c>
      <c r="W139" t="str">
        <f t="shared" si="2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</v>
      </c>
    </row>
    <row r="140" spans="1:23" x14ac:dyDescent="0.25">
      <c r="A140" s="2">
        <v>43756</v>
      </c>
      <c r="B140" s="1">
        <v>11</v>
      </c>
      <c r="C140" s="1" t="s">
        <v>99</v>
      </c>
      <c r="D140" s="1" t="s">
        <v>10</v>
      </c>
      <c r="E140" s="1" t="s">
        <v>55</v>
      </c>
      <c r="F140" s="1" t="s">
        <v>155</v>
      </c>
      <c r="G140" s="11" t="s">
        <v>162</v>
      </c>
      <c r="H140" s="1">
        <v>13</v>
      </c>
      <c r="I140" s="1">
        <v>11</v>
      </c>
      <c r="L140" t="s">
        <v>154</v>
      </c>
      <c r="M140" t="str">
        <f>CONCATENATE("(","'",TEXT(A140,"dd.m.rrrrr"),"'",L140,"'",B140,"'",L140,"'",C140,"'",L140,"'",D140,"'",L140,"'",E140,"'",L140,"'",F140,"'",L140,"'",G140,"'",L140,"'",H140,"'",L140,"'",I140,"'",")")</f>
        <v>('18.10.2019', '11', '11 th round', 'VIT', 'Friday', 'Away', '0:2', '13', '11')</v>
      </c>
      <c r="W140" t="str">
        <f t="shared" si="2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</v>
      </c>
    </row>
    <row r="141" spans="1:23" x14ac:dyDescent="0.25">
      <c r="A141" s="2">
        <v>43758</v>
      </c>
      <c r="B141" s="1">
        <v>12</v>
      </c>
      <c r="C141" s="1" t="s">
        <v>100</v>
      </c>
      <c r="D141" s="1" t="s">
        <v>4</v>
      </c>
      <c r="E141" s="1" t="s">
        <v>57</v>
      </c>
      <c r="F141" s="1" t="s">
        <v>157</v>
      </c>
      <c r="G141" s="11" t="s">
        <v>181</v>
      </c>
      <c r="H141" s="1">
        <v>13</v>
      </c>
      <c r="I141" s="1">
        <v>11</v>
      </c>
      <c r="L141" t="s">
        <v>154</v>
      </c>
      <c r="M141" t="str">
        <f>CONCATENATE("(","'",TEXT(A141,"dd.m.rrrrr"),"'",L141,"'",B141,"'",L141,"'",C141,"'",L141,"'",D141,"'",L141,"'",E141,"'",L141,"'",F141,"'",L141,"'",G141,"'",L141,"'",H141,"'",L141,"'",I141,"'",")")</f>
        <v>('20.10.2019', '12', '12 th round', 'OLO', 'Sunday', 'Home', '3:4', '13', '11')</v>
      </c>
      <c r="W141" t="str">
        <f t="shared" si="2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</v>
      </c>
    </row>
    <row r="142" spans="1:23" x14ac:dyDescent="0.25">
      <c r="A142" s="2">
        <v>43763</v>
      </c>
      <c r="B142" s="1">
        <v>13</v>
      </c>
      <c r="C142" s="1" t="s">
        <v>101</v>
      </c>
      <c r="D142" s="1" t="s">
        <v>28</v>
      </c>
      <c r="E142" s="1" t="s">
        <v>55</v>
      </c>
      <c r="F142" s="1" t="s">
        <v>155</v>
      </c>
      <c r="G142" s="3" t="s">
        <v>31</v>
      </c>
      <c r="H142" s="4">
        <v>11</v>
      </c>
      <c r="I142" s="4">
        <v>13</v>
      </c>
      <c r="L142" t="s">
        <v>154</v>
      </c>
      <c r="M142" t="str">
        <f>CONCATENATE("(","'",TEXT(A142,"dd.m.rrrrr"),"'",L142,"'",B142,"'",L142,"'",C142,"'",L142,"'",D142,"'",L142,"'",E142,"'",L142,"'",F142,"'",L142,"'",G142,"'",L142,"'",H142,"'",L142,"'",I142,"'",")")</f>
        <v>('25.10.2019', '13', '13 th round', 'KLA', 'Friday', 'Away', '3:2pp', '11', '13')</v>
      </c>
      <c r="W142" t="str">
        <f t="shared" si="2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</v>
      </c>
    </row>
    <row r="143" spans="1:23" x14ac:dyDescent="0.25">
      <c r="A143" s="2">
        <v>43765</v>
      </c>
      <c r="B143" s="1">
        <v>14</v>
      </c>
      <c r="C143" s="1" t="s">
        <v>102</v>
      </c>
      <c r="D143" s="1" t="s">
        <v>11</v>
      </c>
      <c r="E143" s="1" t="s">
        <v>57</v>
      </c>
      <c r="F143" s="1" t="s">
        <v>155</v>
      </c>
      <c r="G143" s="3" t="s">
        <v>33</v>
      </c>
      <c r="H143" s="1">
        <v>11</v>
      </c>
      <c r="I143" s="1">
        <v>14</v>
      </c>
      <c r="L143" t="s">
        <v>154</v>
      </c>
      <c r="M143" t="str">
        <f>CONCATENATE("(","'",TEXT(A143,"dd.m.rrrrr"),"'",L143,"'",B143,"'",L143,"'",C143,"'",L143,"'",D143,"'",L143,"'",E143,"'",L143,"'",F143,"'",L143,"'",G143,"'",L143,"'",H143,"'",L143,"'",I143,"'",")")</f>
        <v>('27.10.2019', '14', '14 th round', 'BRN', 'Sunday', 'Away', '3:4sn', '11', '14')</v>
      </c>
      <c r="W143" t="str">
        <f t="shared" si="2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</v>
      </c>
    </row>
    <row r="144" spans="1:23" x14ac:dyDescent="0.25">
      <c r="A144" s="2">
        <v>43767</v>
      </c>
      <c r="B144" s="1">
        <v>15</v>
      </c>
      <c r="C144" s="1" t="s">
        <v>103</v>
      </c>
      <c r="D144" s="1" t="s">
        <v>0</v>
      </c>
      <c r="E144" s="1" t="s">
        <v>59</v>
      </c>
      <c r="F144" s="1" t="s">
        <v>157</v>
      </c>
      <c r="G144" s="11" t="s">
        <v>168</v>
      </c>
      <c r="H144" s="1">
        <v>12</v>
      </c>
      <c r="I144" s="1">
        <v>14</v>
      </c>
      <c r="L144" t="s">
        <v>154</v>
      </c>
      <c r="M144" t="str">
        <f>CONCATENATE("(","'",TEXT(A144,"dd.m.rrrrr"),"'",L144,"'",B144,"'",L144,"'",C144,"'",L144,"'",D144,"'",L144,"'",E144,"'",L144,"'",F144,"'",L144,"'",G144,"'",L144,"'",H144,"'",L144,"'",I144,"'",")")</f>
        <v>('29.10.2019', '15', '15 th round', 'PLZ', 'Tuesday', 'Home', '1:3', '12', '14')</v>
      </c>
      <c r="W144" t="str">
        <f t="shared" si="2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</v>
      </c>
    </row>
    <row r="145" spans="1:23" x14ac:dyDescent="0.25">
      <c r="A145" s="2">
        <v>43770</v>
      </c>
      <c r="B145" s="1">
        <v>16</v>
      </c>
      <c r="C145" s="1" t="s">
        <v>104</v>
      </c>
      <c r="D145" s="1" t="s">
        <v>9</v>
      </c>
      <c r="E145" s="1" t="s">
        <v>55</v>
      </c>
      <c r="F145" s="1" t="s">
        <v>155</v>
      </c>
      <c r="G145" s="11" t="s">
        <v>189</v>
      </c>
      <c r="H145" s="1">
        <v>11</v>
      </c>
      <c r="I145" s="1">
        <v>17</v>
      </c>
      <c r="L145" t="s">
        <v>154</v>
      </c>
      <c r="M145" t="str">
        <f>CONCATENATE("(","'",TEXT(A145,"dd.m.rrrrr"),"'",L145,"'",B145,"'",L145,"'",C145,"'",L145,"'",D145,"'",L145,"'",E145,"'",L145,"'",F145,"'",L145,"'",G145,"'",L145,"'",H145,"'",L145,"'",I145,"'",")")</f>
        <v>('01.11.2019', '16', '16 th round', 'PAR', 'Friday', 'Away', '4:3', '11', '17')</v>
      </c>
      <c r="W145" t="str">
        <f t="shared" si="2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</v>
      </c>
    </row>
    <row r="146" spans="1:23" x14ac:dyDescent="0.25">
      <c r="A146" s="2">
        <v>43771</v>
      </c>
      <c r="B146" s="1">
        <v>17</v>
      </c>
      <c r="C146" s="1" t="s">
        <v>105</v>
      </c>
      <c r="D146" s="1" t="s">
        <v>6</v>
      </c>
      <c r="E146" s="1" t="s">
        <v>56</v>
      </c>
      <c r="F146" s="1" t="s">
        <v>155</v>
      </c>
      <c r="G146" s="11" t="s">
        <v>162</v>
      </c>
      <c r="H146" s="1">
        <v>12</v>
      </c>
      <c r="I146" s="1">
        <v>17</v>
      </c>
      <c r="L146" t="s">
        <v>154</v>
      </c>
      <c r="M146" t="str">
        <f>CONCATENATE("(","'",TEXT(A146,"dd.m.rrrrr"),"'",L146,"'",B146,"'",L146,"'",C146,"'",L146,"'",D146,"'",L146,"'",E146,"'",L146,"'",F146,"'",L146,"'",G146,"'",L146,"'",H146,"'",L146,"'",I146,"'",")")</f>
        <v>('02.11.2019', '17', '17 th round', 'TRI', 'Saturday', 'Away', '0:2', '12', '17')</v>
      </c>
      <c r="W146" t="str">
        <f t="shared" si="2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</v>
      </c>
    </row>
    <row r="147" spans="1:23" x14ac:dyDescent="0.25">
      <c r="A147" s="2">
        <v>43784</v>
      </c>
      <c r="B147" s="1">
        <v>18</v>
      </c>
      <c r="C147" s="1" t="s">
        <v>106</v>
      </c>
      <c r="D147" s="1" t="s">
        <v>1</v>
      </c>
      <c r="E147" s="1" t="s">
        <v>55</v>
      </c>
      <c r="F147" s="1" t="s">
        <v>155</v>
      </c>
      <c r="G147" s="11" t="s">
        <v>170</v>
      </c>
      <c r="H147" s="1">
        <v>13</v>
      </c>
      <c r="I147" s="1">
        <v>17</v>
      </c>
      <c r="L147" t="s">
        <v>154</v>
      </c>
      <c r="M147" t="str">
        <f>CONCATENATE("(","'",TEXT(A147,"dd.m.rrrrr"),"'",L147,"'",B147,"'",L147,"'",C147,"'",L147,"'",D147,"'",L147,"'",E147,"'",L147,"'",F147,"'",L147,"'",G147,"'",L147,"'",H147,"'",L147,"'",I147,"'",")")</f>
        <v>('15.11.2019', '18', '18 th round', 'LIB', 'Friday', 'Away', '1:6', '13', '17')</v>
      </c>
      <c r="W147" t="str">
        <f t="shared" si="2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</v>
      </c>
    </row>
    <row r="148" spans="1:23" x14ac:dyDescent="0.25">
      <c r="A148" s="2">
        <v>43786</v>
      </c>
      <c r="B148" s="1">
        <v>19</v>
      </c>
      <c r="C148" s="1" t="s">
        <v>107</v>
      </c>
      <c r="D148" s="1" t="s">
        <v>3</v>
      </c>
      <c r="E148" s="1" t="s">
        <v>57</v>
      </c>
      <c r="F148" s="1" t="s">
        <v>157</v>
      </c>
      <c r="G148" s="3" t="s">
        <v>18</v>
      </c>
      <c r="H148" s="1">
        <v>13</v>
      </c>
      <c r="I148" s="1">
        <v>18</v>
      </c>
      <c r="L148" t="s">
        <v>154</v>
      </c>
      <c r="M148" t="str">
        <f>CONCATENATE("(","'",TEXT(A148,"dd.m.rrrrr"),"'",L148,"'",B148,"'",L148,"'",C148,"'",L148,"'",D148,"'",L148,"'",E148,"'",L148,"'",F148,"'",L148,"'",G148,"'",L148,"'",H148,"'",L148,"'",I148,"'",")")</f>
        <v>('17.11.2019', '19', '19 th round', 'SPA', 'Sunday', 'Home', '3:4pp', '13', '18')</v>
      </c>
      <c r="W148" t="str">
        <f t="shared" si="2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</v>
      </c>
    </row>
    <row r="149" spans="1:23" x14ac:dyDescent="0.25">
      <c r="A149" s="2">
        <v>43791</v>
      </c>
      <c r="B149" s="1">
        <v>20</v>
      </c>
      <c r="C149" s="1" t="s">
        <v>108</v>
      </c>
      <c r="D149" s="1" t="s">
        <v>7</v>
      </c>
      <c r="E149" s="1" t="s">
        <v>55</v>
      </c>
      <c r="F149" s="1" t="s">
        <v>157</v>
      </c>
      <c r="G149" s="11" t="s">
        <v>176</v>
      </c>
      <c r="H149" s="1">
        <v>13</v>
      </c>
      <c r="I149" s="1">
        <v>18</v>
      </c>
      <c r="L149" t="s">
        <v>154</v>
      </c>
      <c r="M149" t="str">
        <f>CONCATENATE("(","'",TEXT(A149,"dd.m.rrrrr"),"'",L149,"'",B149,"'",L149,"'",C149,"'",L149,"'",D149,"'",L149,"'",E149,"'",L149,"'",F149,"'",L149,"'",G149,"'",L149,"'",H149,"'",L149,"'",I149,"'",")")</f>
        <v>('22.11.2019', '20', '20 th round', 'MBO', 'Friday', 'Home', '2:5', '13', '18')</v>
      </c>
      <c r="W149" t="str">
        <f t="shared" si="2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</v>
      </c>
    </row>
    <row r="150" spans="1:23" x14ac:dyDescent="0.25">
      <c r="A150" s="2">
        <v>43793</v>
      </c>
      <c r="B150" s="1">
        <v>21</v>
      </c>
      <c r="C150" s="1" t="s">
        <v>109</v>
      </c>
      <c r="D150" s="1" t="s">
        <v>2</v>
      </c>
      <c r="E150" s="1" t="s">
        <v>57</v>
      </c>
      <c r="F150" s="1" t="s">
        <v>155</v>
      </c>
      <c r="G150" s="11" t="s">
        <v>177</v>
      </c>
      <c r="H150" s="1">
        <v>13</v>
      </c>
      <c r="I150" s="1">
        <v>18</v>
      </c>
      <c r="L150" t="s">
        <v>154</v>
      </c>
      <c r="M150" t="str">
        <f>CONCATENATE("(","'",TEXT(A150,"dd.m.rrrrr"),"'",L150,"'",B150,"'",L150,"'",C150,"'",L150,"'",D150,"'",L150,"'",E150,"'",L150,"'",F150,"'",L150,"'",G150,"'",L150,"'",H150,"'",L150,"'",I150,"'",")")</f>
        <v>('24.11.2019', '21', '21 th round', 'HRK', 'Sunday', 'Away', '2:6', '13', '18')</v>
      </c>
      <c r="W150" t="str">
        <f t="shared" si="2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</v>
      </c>
    </row>
    <row r="151" spans="1:23" x14ac:dyDescent="0.25">
      <c r="A151" s="2">
        <v>43795</v>
      </c>
      <c r="B151" s="1">
        <v>22</v>
      </c>
      <c r="C151" s="1" t="s">
        <v>110</v>
      </c>
      <c r="D151" s="1" t="s">
        <v>27</v>
      </c>
      <c r="E151" s="1" t="s">
        <v>59</v>
      </c>
      <c r="F151" s="1" t="s">
        <v>157</v>
      </c>
      <c r="G151" s="11" t="s">
        <v>173</v>
      </c>
      <c r="H151" s="1">
        <v>13</v>
      </c>
      <c r="I151" s="1">
        <v>21</v>
      </c>
      <c r="L151" t="s">
        <v>154</v>
      </c>
      <c r="M151" t="str">
        <f>CONCATENATE("(","'",TEXT(A151,"dd.m.rrrrr"),"'",L151,"'",B151,"'",L151,"'",C151,"'",L151,"'",D151,"'",L151,"'",E151,"'",L151,"'",F151,"'",L151,"'",G151,"'",L151,"'",H151,"'",L151,"'",I151,"'",")")</f>
        <v>('26.11.2019', '22', '22 th round', 'KVA', 'Tuesday', 'Home', '2:1', '13', '21')</v>
      </c>
      <c r="W151" t="str">
        <f t="shared" si="2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</v>
      </c>
    </row>
    <row r="152" spans="1:23" x14ac:dyDescent="0.25">
      <c r="A152" s="2">
        <v>43798</v>
      </c>
      <c r="B152" s="1">
        <v>23</v>
      </c>
      <c r="C152" s="1" t="s">
        <v>111</v>
      </c>
      <c r="D152" s="1" t="s">
        <v>5</v>
      </c>
      <c r="E152" s="1" t="s">
        <v>55</v>
      </c>
      <c r="F152" s="1" t="s">
        <v>155</v>
      </c>
      <c r="G152" s="11" t="s">
        <v>168</v>
      </c>
      <c r="H152" s="6">
        <v>14</v>
      </c>
      <c r="I152" s="1">
        <v>21</v>
      </c>
      <c r="L152" t="s">
        <v>154</v>
      </c>
      <c r="M152" t="str">
        <f>CONCATENATE("(","'",TEXT(A152,"dd.m.rrrrr"),"'",L152,"'",B152,"'",L152,"'",C152,"'",L152,"'",D152,"'",L152,"'",E152,"'",L152,"'",F152,"'",L152,"'",G152,"'",L152,"'",H152,"'",L152,"'",I152,"'",")")</f>
        <v>('29.11.2019', '23', '23 th round', 'ZLN', 'Friday', 'Away', '1:3', '14', '21')</v>
      </c>
      <c r="W152" t="str">
        <f t="shared" si="2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</v>
      </c>
    </row>
    <row r="153" spans="1:23" x14ac:dyDescent="0.25">
      <c r="A153" s="2">
        <v>43800</v>
      </c>
      <c r="B153" s="1">
        <v>24</v>
      </c>
      <c r="C153" s="1" t="s">
        <v>112</v>
      </c>
      <c r="D153" s="1" t="s">
        <v>10</v>
      </c>
      <c r="E153" s="1" t="s">
        <v>57</v>
      </c>
      <c r="F153" s="1" t="s">
        <v>157</v>
      </c>
      <c r="G153" s="11" t="s">
        <v>201</v>
      </c>
      <c r="H153" s="1">
        <v>13</v>
      </c>
      <c r="I153" s="1">
        <v>24</v>
      </c>
      <c r="L153" t="s">
        <v>154</v>
      </c>
      <c r="M153" t="str">
        <f>CONCATENATE("(","'",TEXT(A153,"dd.m.rrrrr"),"'",L153,"'",B153,"'",L153,"'",C153,"'",L153,"'",D153,"'",L153,"'",E153,"'",L153,"'",F153,"'",L153,"'",G153,"'",L153,"'",H153,"'",L153,"'",I153,"'",")")</f>
        <v>('01.12.2019', '24', '24 th round', 'VIT', 'Sunday', 'Home', '6:2', '13', '24')</v>
      </c>
      <c r="W153" t="str">
        <f t="shared" si="2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</v>
      </c>
    </row>
    <row r="154" spans="1:23" x14ac:dyDescent="0.25">
      <c r="A154" s="2">
        <v>43802</v>
      </c>
      <c r="B154" s="1">
        <v>25</v>
      </c>
      <c r="C154" s="1" t="s">
        <v>121</v>
      </c>
      <c r="D154" s="1" t="s">
        <v>7</v>
      </c>
      <c r="E154" s="1" t="s">
        <v>59</v>
      </c>
      <c r="F154" s="1" t="s">
        <v>155</v>
      </c>
      <c r="G154" s="11" t="s">
        <v>203</v>
      </c>
      <c r="H154" s="1">
        <v>12</v>
      </c>
      <c r="I154" s="1">
        <v>27</v>
      </c>
      <c r="L154" t="s">
        <v>154</v>
      </c>
      <c r="M154" t="str">
        <f>CONCATENATE("(","'",TEXT(A154,"dd.m.rrrrr"),"'",L154,"'",B154,"'",L154,"'",C154,"'",L154,"'",D154,"'",L154,"'",E154,"'",L154,"'",F154,"'",L154,"'",G154,"'",L154,"'",H154,"'",L154,"'",I154,"'",")")</f>
        <v>('03.12.2019', '25', '33 th round', 'MBO', 'Tuesday', 'Away', '6:4', '12', '27')</v>
      </c>
      <c r="W154" t="str">
        <f t="shared" si="2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</v>
      </c>
    </row>
    <row r="155" spans="1:23" x14ac:dyDescent="0.25">
      <c r="A155" s="2">
        <v>43805</v>
      </c>
      <c r="B155" s="1">
        <v>26</v>
      </c>
      <c r="C155" s="1" t="s">
        <v>113</v>
      </c>
      <c r="D155" s="1" t="s">
        <v>4</v>
      </c>
      <c r="E155" s="1" t="s">
        <v>55</v>
      </c>
      <c r="F155" s="1" t="s">
        <v>155</v>
      </c>
      <c r="G155" s="11" t="s">
        <v>168</v>
      </c>
      <c r="H155" s="4">
        <v>12</v>
      </c>
      <c r="I155" s="4">
        <v>27</v>
      </c>
      <c r="L155" t="s">
        <v>154</v>
      </c>
      <c r="M155" t="str">
        <f>CONCATENATE("(","'",TEXT(A155,"dd.m.rrrrr"),"'",L155,"'",B155,"'",L155,"'",C155,"'",L155,"'",D155,"'",L155,"'",E155,"'",L155,"'",F155,"'",L155,"'",G155,"'",L155,"'",H155,"'",L155,"'",I155,"'",")")</f>
        <v>('06.12.2019', '26', '25 th round', 'OLO', 'Friday', 'Away', '1:3', '12', '27')</v>
      </c>
      <c r="W155" t="str">
        <f t="shared" si="2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</v>
      </c>
    </row>
    <row r="156" spans="1:23" x14ac:dyDescent="0.25">
      <c r="A156" s="2">
        <v>43807</v>
      </c>
      <c r="B156" s="1">
        <v>27</v>
      </c>
      <c r="C156" s="1" t="s">
        <v>114</v>
      </c>
      <c r="D156" s="1" t="s">
        <v>28</v>
      </c>
      <c r="E156" s="1" t="s">
        <v>57</v>
      </c>
      <c r="F156" s="1" t="s">
        <v>157</v>
      </c>
      <c r="G156" s="11" t="s">
        <v>187</v>
      </c>
      <c r="H156" s="1">
        <v>12</v>
      </c>
      <c r="I156" s="1">
        <v>30</v>
      </c>
      <c r="L156" t="s">
        <v>154</v>
      </c>
      <c r="M156" t="str">
        <f>CONCATENATE("(","'",TEXT(A156,"dd.m.rrrrr"),"'",L156,"'",B156,"'",L156,"'",C156,"'",L156,"'",D156,"'",L156,"'",E156,"'",L156,"'",F156,"'",L156,"'",G156,"'",L156,"'",H156,"'",L156,"'",I156,"'",")")</f>
        <v>('08.12.2019', '27', '26 th round', 'KLA', 'Sunday', 'Home', '4:1', '12', '30')</v>
      </c>
      <c r="W156" t="str">
        <f t="shared" si="2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</v>
      </c>
    </row>
    <row r="157" spans="1:23" x14ac:dyDescent="0.25">
      <c r="A157" s="2">
        <v>43817</v>
      </c>
      <c r="B157" s="1">
        <v>28</v>
      </c>
      <c r="C157" s="1" t="s">
        <v>115</v>
      </c>
      <c r="D157" s="1" t="s">
        <v>11</v>
      </c>
      <c r="E157" s="1" t="s">
        <v>60</v>
      </c>
      <c r="F157" s="1" t="s">
        <v>157</v>
      </c>
      <c r="G157" s="11" t="s">
        <v>196</v>
      </c>
      <c r="H157" s="1">
        <v>10</v>
      </c>
      <c r="I157" s="1">
        <v>33</v>
      </c>
      <c r="L157" t="s">
        <v>154</v>
      </c>
      <c r="M157" t="str">
        <f>CONCATENATE("(","'",TEXT(A157,"dd.m.rrrrr"),"'",L157,"'",B157,"'",L157,"'",C157,"'",L157,"'",D157,"'",L157,"'",E157,"'",L157,"'",F157,"'",L157,"'",G157,"'",L157,"'",H157,"'",L157,"'",I157,"'",")")</f>
        <v>('18.12.2019', '28', '27 th round', 'BRN', 'Wednesday', 'Home', '5:2', '10', '33')</v>
      </c>
      <c r="W157" t="str">
        <f t="shared" si="2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</v>
      </c>
    </row>
    <row r="158" spans="1:23" x14ac:dyDescent="0.25">
      <c r="A158" s="2">
        <v>43819</v>
      </c>
      <c r="B158" s="1">
        <v>29</v>
      </c>
      <c r="C158" s="1" t="s">
        <v>116</v>
      </c>
      <c r="D158" s="1" t="s">
        <v>0</v>
      </c>
      <c r="E158" s="1" t="s">
        <v>55</v>
      </c>
      <c r="F158" s="1" t="s">
        <v>155</v>
      </c>
      <c r="G158" s="11" t="s">
        <v>177</v>
      </c>
      <c r="H158" s="1">
        <v>13</v>
      </c>
      <c r="I158" s="1">
        <v>33</v>
      </c>
      <c r="L158" t="s">
        <v>154</v>
      </c>
      <c r="M158" t="str">
        <f>CONCATENATE("(","'",TEXT(A158,"dd.m.rrrrr"),"'",L158,"'",B158,"'",L158,"'",C158,"'",L158,"'",D158,"'",L158,"'",E158,"'",L158,"'",F158,"'",L158,"'",G158,"'",L158,"'",H158,"'",L158,"'",I158,"'",")")</f>
        <v>('20.12.2019', '29', '28 th round', 'PLZ', 'Friday', 'Away', '2:6', '13', '33')</v>
      </c>
      <c r="W158" t="str">
        <f t="shared" si="2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</v>
      </c>
    </row>
    <row r="159" spans="1:23" x14ac:dyDescent="0.25">
      <c r="A159" s="2">
        <v>43821</v>
      </c>
      <c r="B159" s="1">
        <v>30</v>
      </c>
      <c r="C159" s="1" t="s">
        <v>117</v>
      </c>
      <c r="D159" s="1" t="s">
        <v>9</v>
      </c>
      <c r="E159" s="1" t="s">
        <v>57</v>
      </c>
      <c r="F159" s="1" t="s">
        <v>157</v>
      </c>
      <c r="G159" s="3" t="s">
        <v>14</v>
      </c>
      <c r="H159" s="1">
        <v>11</v>
      </c>
      <c r="I159" s="1">
        <v>35</v>
      </c>
      <c r="L159" t="s">
        <v>154</v>
      </c>
      <c r="M159" t="str">
        <f>CONCATENATE("(","'",TEXT(A159,"dd.m.rrrrr"),"'",L159,"'",B159,"'",L159,"'",C159,"'",L159,"'",D159,"'",L159,"'",E159,"'",L159,"'",F159,"'",L159,"'",G159,"'",L159,"'",H159,"'",L159,"'",I159,"'",")")</f>
        <v>('22.12.2019', '30', '29 th round', 'PAR', 'Sunday', 'Home', '4:3sn', '11', '35')</v>
      </c>
      <c r="W159" t="str">
        <f t="shared" si="2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</v>
      </c>
    </row>
    <row r="160" spans="1:23" x14ac:dyDescent="0.25">
      <c r="A160" s="2">
        <v>43827</v>
      </c>
      <c r="B160" s="1">
        <v>31</v>
      </c>
      <c r="C160" s="1" t="s">
        <v>119</v>
      </c>
      <c r="D160" s="1" t="s">
        <v>1</v>
      </c>
      <c r="E160" s="1" t="s">
        <v>56</v>
      </c>
      <c r="F160" s="1" t="s">
        <v>157</v>
      </c>
      <c r="G160" s="11" t="s">
        <v>181</v>
      </c>
      <c r="H160" s="1">
        <v>12</v>
      </c>
      <c r="I160" s="1">
        <v>35</v>
      </c>
      <c r="L160" t="s">
        <v>154</v>
      </c>
      <c r="M160" t="str">
        <f>CONCATENATE("(","'",TEXT(A160,"dd.m.rrrrr"),"'",L160,"'",B160,"'",L160,"'",C160,"'",L160,"'",D160,"'",L160,"'",E160,"'",L160,"'",F160,"'",L160,"'",G160,"'",L160,"'",H160,"'",L160,"'",I160,"'",")")</f>
        <v>('28.12.2019', '31', '31 th round', 'LIB', 'Saturday', 'Home', '3:4', '12', '35')</v>
      </c>
      <c r="W160" t="str">
        <f t="shared" si="2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</v>
      </c>
    </row>
    <row r="161" spans="1:23" x14ac:dyDescent="0.25">
      <c r="A161" s="2">
        <v>43829</v>
      </c>
      <c r="B161" s="1">
        <v>32</v>
      </c>
      <c r="C161" s="1" t="s">
        <v>120</v>
      </c>
      <c r="D161" s="1" t="s">
        <v>3</v>
      </c>
      <c r="E161" s="1" t="s">
        <v>58</v>
      </c>
      <c r="F161" s="1" t="s">
        <v>155</v>
      </c>
      <c r="G161" s="11" t="s">
        <v>193</v>
      </c>
      <c r="H161" s="1">
        <v>13</v>
      </c>
      <c r="I161" s="1">
        <v>35</v>
      </c>
      <c r="L161" t="s">
        <v>154</v>
      </c>
      <c r="M161" t="str">
        <f>CONCATENATE("(","'",TEXT(A161,"dd.m.rrrrr"),"'",L161,"'",B161,"'",L161,"'",C161,"'",L161,"'",D161,"'",L161,"'",E161,"'",L161,"'",F161,"'",L161,"'",G161,"'",L161,"'",H161,"'",L161,"'",I161,"'",")")</f>
        <v>('30.12.2019', '32', '32 th round', 'SPA', 'Monday', 'Away', '4:8', '13', '35')</v>
      </c>
      <c r="W161" t="str">
        <f t="shared" si="2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</v>
      </c>
    </row>
    <row r="162" spans="1:23" x14ac:dyDescent="0.25">
      <c r="A162" s="2">
        <v>43834</v>
      </c>
      <c r="B162" s="1">
        <v>33</v>
      </c>
      <c r="C162" s="1" t="s">
        <v>133</v>
      </c>
      <c r="D162" s="1" t="s">
        <v>3</v>
      </c>
      <c r="E162" s="1" t="s">
        <v>56</v>
      </c>
      <c r="F162" s="8" t="s">
        <v>158</v>
      </c>
      <c r="G162" s="11" t="s">
        <v>174</v>
      </c>
      <c r="H162" s="1">
        <v>13</v>
      </c>
      <c r="I162" s="1">
        <v>35</v>
      </c>
      <c r="L162" t="s">
        <v>154</v>
      </c>
      <c r="M162" t="str">
        <f>CONCATENATE("(","'",TEXT(A162,"dd.m.rrrrr"),"'",L162,"'",B162,"'",L162,"'",C162,"'",L162,"'",D162,"'",L162,"'",E162,"'",L162,"'",F162,"'",L162,"'",G162,"'",L162,"'",H162,"'",L162,"'",I162,"'",")")</f>
        <v>('04.1.2020', '33', '45 th round', 'SPA', 'Saturday', 'Open air HomeresHomeen', '2:3', '13', '35')</v>
      </c>
      <c r="W162" t="str">
        <f t="shared" si="2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</v>
      </c>
    </row>
    <row r="163" spans="1:23" x14ac:dyDescent="0.25">
      <c r="A163" s="2">
        <v>43840</v>
      </c>
      <c r="B163" s="1">
        <v>34</v>
      </c>
      <c r="C163" s="1" t="s">
        <v>123</v>
      </c>
      <c r="D163" s="1" t="s">
        <v>27</v>
      </c>
      <c r="E163" s="1" t="s">
        <v>55</v>
      </c>
      <c r="F163" s="1" t="s">
        <v>155</v>
      </c>
      <c r="G163" s="3" t="s">
        <v>26</v>
      </c>
      <c r="H163" s="1">
        <v>13</v>
      </c>
      <c r="I163" s="1">
        <v>36</v>
      </c>
      <c r="L163" t="s">
        <v>154</v>
      </c>
      <c r="M163" t="str">
        <f>CONCATENATE("(","'",TEXT(A163,"dd.m.rrrrr"),"'",L163,"'",B163,"'",L163,"'",C163,"'",L163,"'",D163,"'",L163,"'",E163,"'",L163,"'",F163,"'",L163,"'",G163,"'",L163,"'",H163,"'",L163,"'",I163,"'",")")</f>
        <v>('10.1.2020', '34', '35 th round', 'KVA', 'Friday', 'Away', '2:3pp', '13', '36')</v>
      </c>
      <c r="W163" t="str">
        <f t="shared" si="2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</v>
      </c>
    </row>
    <row r="164" spans="1:23" x14ac:dyDescent="0.25">
      <c r="A164" s="2">
        <v>43842</v>
      </c>
      <c r="B164" s="1">
        <v>35</v>
      </c>
      <c r="C164" s="1" t="s">
        <v>124</v>
      </c>
      <c r="D164" s="1" t="s">
        <v>5</v>
      </c>
      <c r="E164" s="1" t="s">
        <v>57</v>
      </c>
      <c r="F164" s="1" t="s">
        <v>157</v>
      </c>
      <c r="G164" s="11" t="s">
        <v>177</v>
      </c>
      <c r="H164" s="1">
        <v>13</v>
      </c>
      <c r="I164" s="1">
        <v>36</v>
      </c>
      <c r="L164" t="s">
        <v>154</v>
      </c>
      <c r="M164" t="str">
        <f>CONCATENATE("(","'",TEXT(A164,"dd.m.rrrrr"),"'",L164,"'",B164,"'",L164,"'",C164,"'",L164,"'",D164,"'",L164,"'",E164,"'",L164,"'",F164,"'",L164,"'",G164,"'",L164,"'",H164,"'",L164,"'",I164,"'",")")</f>
        <v>('12.1.2020', '35', '36 th round', 'ZLN', 'Sunday', 'Home', '2:6', '13', '36')</v>
      </c>
      <c r="W164" t="str">
        <f t="shared" si="2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</v>
      </c>
    </row>
    <row r="165" spans="1:23" x14ac:dyDescent="0.25">
      <c r="A165" s="2">
        <v>43847</v>
      </c>
      <c r="B165" s="1">
        <v>36</v>
      </c>
      <c r="C165" s="1" t="s">
        <v>125</v>
      </c>
      <c r="D165" s="1" t="s">
        <v>10</v>
      </c>
      <c r="E165" s="1" t="s">
        <v>55</v>
      </c>
      <c r="F165" s="1" t="s">
        <v>155</v>
      </c>
      <c r="G165" s="11" t="s">
        <v>182</v>
      </c>
      <c r="H165" s="1">
        <v>13</v>
      </c>
      <c r="I165" s="1">
        <v>36</v>
      </c>
      <c r="L165" t="s">
        <v>154</v>
      </c>
      <c r="M165" t="str">
        <f>CONCATENATE("(","'",TEXT(A165,"dd.m.rrrrr"),"'",L165,"'",B165,"'",L165,"'",C165,"'",L165,"'",D165,"'",L165,"'",E165,"'",L165,"'",F165,"'",L165,"'",G165,"'",L165,"'",H165,"'",L165,"'",I165,"'",")")</f>
        <v>('17.1.2020', '36', '37 th round', 'VIT', 'Friday', 'Away', '3:5', '13', '36')</v>
      </c>
      <c r="W165" t="str">
        <f t="shared" si="2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</v>
      </c>
    </row>
    <row r="166" spans="1:23" x14ac:dyDescent="0.25">
      <c r="A166" s="2">
        <v>43849</v>
      </c>
      <c r="B166" s="1">
        <v>37</v>
      </c>
      <c r="C166" s="1" t="s">
        <v>126</v>
      </c>
      <c r="D166" s="1" t="s">
        <v>4</v>
      </c>
      <c r="E166" s="1" t="s">
        <v>57</v>
      </c>
      <c r="F166" s="1" t="s">
        <v>157</v>
      </c>
      <c r="G166" s="11" t="s">
        <v>168</v>
      </c>
      <c r="H166" s="1">
        <v>13</v>
      </c>
      <c r="I166" s="1">
        <v>36</v>
      </c>
      <c r="L166" t="s">
        <v>154</v>
      </c>
      <c r="M166" t="str">
        <f>CONCATENATE("(","'",TEXT(A166,"dd.m.rrrrr"),"'",L166,"'",B166,"'",L166,"'",C166,"'",L166,"'",D166,"'",L166,"'",E166,"'",L166,"'",F166,"'",L166,"'",G166,"'",L166,"'",H166,"'",L166,"'",I166,"'",")")</f>
        <v>('19.1.2020', '37', '38 th round', 'OLO', 'Sunday', 'Home', '1:3', '13', '36')</v>
      </c>
      <c r="W166" t="str">
        <f t="shared" si="2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</v>
      </c>
    </row>
    <row r="167" spans="1:23" x14ac:dyDescent="0.25">
      <c r="A167" s="2">
        <v>43854</v>
      </c>
      <c r="B167" s="1">
        <v>38</v>
      </c>
      <c r="C167" s="1" t="s">
        <v>127</v>
      </c>
      <c r="D167" s="1" t="s">
        <v>28</v>
      </c>
      <c r="E167" s="1" t="s">
        <v>55</v>
      </c>
      <c r="F167" s="1" t="s">
        <v>155</v>
      </c>
      <c r="G167" s="11" t="s">
        <v>197</v>
      </c>
      <c r="H167" s="1">
        <v>13</v>
      </c>
      <c r="I167" s="1">
        <v>39</v>
      </c>
      <c r="L167" t="s">
        <v>154</v>
      </c>
      <c r="M167" t="str">
        <f>CONCATENATE("(","'",TEXT(A167,"dd.m.rrrrr"),"'",L167,"'",B167,"'",L167,"'",C167,"'",L167,"'",D167,"'",L167,"'",E167,"'",L167,"'",F167,"'",L167,"'",G167,"'",L167,"'",H167,"'",L167,"'",I167,"'",")")</f>
        <v>('24.1.2020', '38', '39 th round', 'KLA', 'Friday', 'Away', '5:3', '13', '39')</v>
      </c>
      <c r="W167" t="str">
        <f t="shared" si="2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</v>
      </c>
    </row>
    <row r="168" spans="1:23" x14ac:dyDescent="0.25">
      <c r="A168" s="2">
        <v>43856</v>
      </c>
      <c r="B168" s="1">
        <v>39</v>
      </c>
      <c r="C168" s="1" t="s">
        <v>128</v>
      </c>
      <c r="D168" s="1" t="s">
        <v>11</v>
      </c>
      <c r="E168" s="1" t="s">
        <v>57</v>
      </c>
      <c r="F168" s="1" t="s">
        <v>155</v>
      </c>
      <c r="G168" s="3" t="s">
        <v>33</v>
      </c>
      <c r="H168" s="4">
        <v>13</v>
      </c>
      <c r="I168" s="4">
        <v>40</v>
      </c>
      <c r="L168" t="s">
        <v>154</v>
      </c>
      <c r="M168" t="str">
        <f>CONCATENATE("(","'",TEXT(A168,"dd.m.rrrrr"),"'",L168,"'",B168,"'",L168,"'",C168,"'",L168,"'",D168,"'",L168,"'",E168,"'",L168,"'",F168,"'",L168,"'",G168,"'",L168,"'",H168,"'",L168,"'",I168,"'",")")</f>
        <v>('26.1.2020', '39', '40 th round', 'BRN', 'Sunday', 'Away', '3:4sn', '13', '40')</v>
      </c>
      <c r="W168" t="str">
        <f t="shared" si="2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</v>
      </c>
    </row>
    <row r="169" spans="1:23" x14ac:dyDescent="0.25">
      <c r="A169" s="2">
        <v>43858</v>
      </c>
      <c r="B169" s="1">
        <v>40</v>
      </c>
      <c r="C169" s="1" t="s">
        <v>129</v>
      </c>
      <c r="D169" s="1" t="s">
        <v>0</v>
      </c>
      <c r="E169" s="1" t="s">
        <v>59</v>
      </c>
      <c r="F169" s="1" t="s">
        <v>157</v>
      </c>
      <c r="G169" s="11" t="s">
        <v>195</v>
      </c>
      <c r="H169" s="1">
        <v>13</v>
      </c>
      <c r="I169" s="1">
        <v>43</v>
      </c>
      <c r="L169" t="s">
        <v>154</v>
      </c>
      <c r="M169" t="str">
        <f>CONCATENATE("(","'",TEXT(A169,"dd.m.rrrrr"),"'",L169,"'",B169,"'",L169,"'",C169,"'",L169,"'",D169,"'",L169,"'",E169,"'",L169,"'",F169,"'",L169,"'",G169,"'",L169,"'",H169,"'",L169,"'",I169,"'",")")</f>
        <v>('28.1.2020', '40', '41 th round', 'PLZ', 'Tuesday', 'Home', '5:1', '13', '43')</v>
      </c>
      <c r="W169" t="str">
        <f t="shared" si="2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</v>
      </c>
    </row>
    <row r="170" spans="1:23" x14ac:dyDescent="0.25">
      <c r="A170" s="2">
        <v>43861</v>
      </c>
      <c r="B170" s="1">
        <v>41</v>
      </c>
      <c r="C170" s="1" t="s">
        <v>130</v>
      </c>
      <c r="D170" s="1" t="s">
        <v>9</v>
      </c>
      <c r="E170" s="1" t="s">
        <v>55</v>
      </c>
      <c r="F170" s="1" t="s">
        <v>155</v>
      </c>
      <c r="G170" s="11" t="s">
        <v>173</v>
      </c>
      <c r="H170" s="1">
        <v>13</v>
      </c>
      <c r="I170" s="1">
        <v>46</v>
      </c>
      <c r="L170" t="s">
        <v>154</v>
      </c>
      <c r="M170" t="str">
        <f>CONCATENATE("(","'",TEXT(A170,"dd.m.rrrrr"),"'",L170,"'",B170,"'",L170,"'",C170,"'",L170,"'",D170,"'",L170,"'",E170,"'",L170,"'",F170,"'",L170,"'",G170,"'",L170,"'",H170,"'",L170,"'",I170,"'",")")</f>
        <v>('31.1.2020', '41', '42 th round', 'PAR', 'Friday', 'Away', '2:1', '13', '46')</v>
      </c>
      <c r="W170" t="str">
        <f t="shared" si="2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</v>
      </c>
    </row>
    <row r="171" spans="1:23" x14ac:dyDescent="0.25">
      <c r="A171" s="2">
        <v>43863</v>
      </c>
      <c r="B171" s="1">
        <v>42</v>
      </c>
      <c r="C171" s="1" t="s">
        <v>131</v>
      </c>
      <c r="D171" s="1" t="s">
        <v>6</v>
      </c>
      <c r="E171" s="1" t="s">
        <v>57</v>
      </c>
      <c r="F171" s="1" t="s">
        <v>157</v>
      </c>
      <c r="G171" s="11" t="s">
        <v>174</v>
      </c>
      <c r="H171" s="1">
        <v>13</v>
      </c>
      <c r="I171" s="1">
        <v>46</v>
      </c>
      <c r="L171" t="s">
        <v>154</v>
      </c>
      <c r="M171" t="str">
        <f>CONCATENATE("(","'",TEXT(A171,"dd.m.rrrrr"),"'",L171,"'",B171,"'",L171,"'",C171,"'",L171,"'",D171,"'",L171,"'",E171,"'",L171,"'",F171,"'",L171,"'",G171,"'",L171,"'",H171,"'",L171,"'",I171,"'",")")</f>
        <v>('02.2.2020', '42', '43 th round', 'TRI', 'Sunday', 'Home', '2:3', '13', '46')</v>
      </c>
      <c r="W171" t="str">
        <f t="shared" si="2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</v>
      </c>
    </row>
    <row r="172" spans="1:23" x14ac:dyDescent="0.25">
      <c r="A172" s="2">
        <v>43873</v>
      </c>
      <c r="B172" s="1">
        <v>43</v>
      </c>
      <c r="C172" s="1" t="s">
        <v>132</v>
      </c>
      <c r="D172" s="1" t="s">
        <v>1</v>
      </c>
      <c r="E172" s="1" t="s">
        <v>60</v>
      </c>
      <c r="F172" s="1" t="s">
        <v>155</v>
      </c>
      <c r="G172" s="3" t="s">
        <v>35</v>
      </c>
      <c r="H172" s="1">
        <v>13</v>
      </c>
      <c r="I172" s="1">
        <v>47</v>
      </c>
      <c r="L172" t="s">
        <v>154</v>
      </c>
      <c r="M172" t="str">
        <f>CONCATENATE("(","'",TEXT(A172,"dd.m.rrrrr"),"'",L172,"'",B172,"'",L172,"'",C172,"'",L172,"'",D172,"'",L172,"'",E172,"'",L172,"'",F172,"'",L172,"'",G172,"'",L172,"'",H172,"'",L172,"'",I172,"'",")")</f>
        <v>('12.2.2020', '43', '44 th round', 'LIB', 'Wednesday', 'Away', '4:5pp', '13', '47')</v>
      </c>
      <c r="W172" t="str">
        <f t="shared" si="2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</v>
      </c>
    </row>
    <row r="173" spans="1:23" x14ac:dyDescent="0.25">
      <c r="A173" s="2">
        <v>43877</v>
      </c>
      <c r="B173" s="1">
        <v>44</v>
      </c>
      <c r="C173" s="1" t="s">
        <v>134</v>
      </c>
      <c r="D173" s="1" t="s">
        <v>7</v>
      </c>
      <c r="E173" s="1" t="s">
        <v>57</v>
      </c>
      <c r="F173" s="1" t="s">
        <v>157</v>
      </c>
      <c r="G173" s="3" t="s">
        <v>16</v>
      </c>
      <c r="H173" s="6">
        <v>14</v>
      </c>
      <c r="I173" s="1">
        <v>48</v>
      </c>
      <c r="L173" t="s">
        <v>154</v>
      </c>
      <c r="M173" t="str">
        <f>CONCATENATE("(","'",TEXT(A173,"dd.m.rrrrr"),"'",L173,"'",B173,"'",L173,"'",C173,"'",L173,"'",D173,"'",L173,"'",E173,"'",L173,"'",F173,"'",L173,"'",G173,"'",L173,"'",H173,"'",L173,"'",I173,"'",")")</f>
        <v>('16.2.2020', '44', '46 th round', 'MBO', 'Sunday', 'Home', '2:3sn', '14', '48')</v>
      </c>
      <c r="W173" t="str">
        <f t="shared" si="2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</v>
      </c>
    </row>
    <row r="174" spans="1:23" x14ac:dyDescent="0.25">
      <c r="A174" s="2">
        <v>43880</v>
      </c>
      <c r="B174" s="1">
        <v>45</v>
      </c>
      <c r="C174" s="1" t="s">
        <v>118</v>
      </c>
      <c r="D174" s="1" t="s">
        <v>6</v>
      </c>
      <c r="E174" s="1" t="s">
        <v>60</v>
      </c>
      <c r="F174" s="1" t="s">
        <v>157</v>
      </c>
      <c r="G174" s="11" t="s">
        <v>196</v>
      </c>
      <c r="H174" s="1">
        <v>12</v>
      </c>
      <c r="I174" s="1">
        <v>51</v>
      </c>
      <c r="L174" t="s">
        <v>154</v>
      </c>
      <c r="M174" t="str">
        <f>CONCATENATE("(","'",TEXT(A174,"dd.m.rrrrr"),"'",L174,"'",B174,"'",L174,"'",C174,"'",L174,"'",D174,"'",L174,"'",E174,"'",L174,"'",F174,"'",L174,"'",G174,"'",L174,"'",H174,"'",L174,"'",I174,"'",")")</f>
        <v>('19.2.2020', '45', '30 th round', 'TRI', 'Wednesday', 'Home', '5:2', '12', '51')</v>
      </c>
      <c r="W174" t="str">
        <f t="shared" si="2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</v>
      </c>
    </row>
    <row r="175" spans="1:23" x14ac:dyDescent="0.25">
      <c r="A175" s="2">
        <v>43882</v>
      </c>
      <c r="B175" s="1">
        <v>46</v>
      </c>
      <c r="C175" s="1" t="s">
        <v>135</v>
      </c>
      <c r="D175" s="1" t="s">
        <v>2</v>
      </c>
      <c r="E175" s="1" t="s">
        <v>55</v>
      </c>
      <c r="F175" s="1" t="s">
        <v>155</v>
      </c>
      <c r="G175" s="3" t="s">
        <v>17</v>
      </c>
      <c r="H175" s="1">
        <v>13</v>
      </c>
      <c r="I175" s="1">
        <v>53</v>
      </c>
      <c r="L175" t="s">
        <v>154</v>
      </c>
      <c r="M175" t="str">
        <f>CONCATENATE("(","'",TEXT(A175,"dd.m.rrrrr"),"'",L175,"'",B175,"'",L175,"'",C175,"'",L175,"'",D175,"'",L175,"'",E175,"'",L175,"'",F175,"'",L175,"'",G175,"'",L175,"'",H175,"'",L175,"'",I175,"'",")")</f>
        <v>('21.2.2020', '46', '47 th round', 'HRK', 'Friday', 'Away', '5:4sn', '13', '53')</v>
      </c>
      <c r="W175" t="str">
        <f t="shared" si="2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</v>
      </c>
    </row>
    <row r="176" spans="1:23" x14ac:dyDescent="0.25">
      <c r="A176" s="2">
        <v>43884</v>
      </c>
      <c r="B176" s="1">
        <v>47</v>
      </c>
      <c r="C176" s="1" t="s">
        <v>136</v>
      </c>
      <c r="D176" s="1" t="s">
        <v>27</v>
      </c>
      <c r="E176" s="1" t="s">
        <v>57</v>
      </c>
      <c r="F176" s="1" t="s">
        <v>157</v>
      </c>
      <c r="G176" s="11" t="s">
        <v>203</v>
      </c>
      <c r="H176" s="1">
        <v>12</v>
      </c>
      <c r="I176" s="1">
        <v>56</v>
      </c>
      <c r="L176" t="s">
        <v>154</v>
      </c>
      <c r="M176" t="str">
        <f>CONCATENATE("(","'",TEXT(A176,"dd.m.rrrrr"),"'",L176,"'",B176,"'",L176,"'",C176,"'",L176,"'",D176,"'",L176,"'",E176,"'",L176,"'",F176,"'",L176,"'",G176,"'",L176,"'",H176,"'",L176,"'",I176,"'",")")</f>
        <v>('23.2.2020', '47', '48 th round', 'KVA', 'Sunday', 'Home', '6:4', '12', '56')</v>
      </c>
      <c r="W176" t="str">
        <f t="shared" si="2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</v>
      </c>
    </row>
    <row r="177" spans="1:23" x14ac:dyDescent="0.25">
      <c r="A177" s="2">
        <v>43886</v>
      </c>
      <c r="B177" s="1">
        <v>48</v>
      </c>
      <c r="C177" s="1" t="s">
        <v>122</v>
      </c>
      <c r="D177" s="1" t="s">
        <v>2</v>
      </c>
      <c r="E177" s="1" t="s">
        <v>59</v>
      </c>
      <c r="F177" s="1" t="s">
        <v>157</v>
      </c>
      <c r="G177" s="11" t="s">
        <v>174</v>
      </c>
      <c r="H177" s="1">
        <v>12</v>
      </c>
      <c r="I177" s="1">
        <v>56</v>
      </c>
      <c r="L177" t="s">
        <v>154</v>
      </c>
      <c r="M177" t="str">
        <f>CONCATENATE("(","'",TEXT(A177,"dd.m.rrrrr"),"'",L177,"'",B177,"'",L177,"'",C177,"'",L177,"'",D177,"'",L177,"'",E177,"'",L177,"'",F177,"'",L177,"'",G177,"'",L177,"'",H177,"'",L177,"'",I177,"'",")")</f>
        <v>('25.2.2020', '48', '34 th round', 'HRK', 'Tuesday', 'Home', '2:3', '12', '56')</v>
      </c>
      <c r="W177" t="str">
        <f t="shared" si="2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</v>
      </c>
    </row>
    <row r="178" spans="1:23" x14ac:dyDescent="0.25">
      <c r="A178" s="2">
        <v>43889</v>
      </c>
      <c r="B178" s="1">
        <v>49</v>
      </c>
      <c r="C178" s="1" t="s">
        <v>137</v>
      </c>
      <c r="D178" s="1" t="s">
        <v>5</v>
      </c>
      <c r="E178" s="1" t="s">
        <v>55</v>
      </c>
      <c r="F178" s="1" t="s">
        <v>155</v>
      </c>
      <c r="G178" s="3" t="s">
        <v>18</v>
      </c>
      <c r="H178" s="1">
        <v>12</v>
      </c>
      <c r="I178" s="1">
        <v>57</v>
      </c>
      <c r="L178" t="s">
        <v>154</v>
      </c>
      <c r="M178" t="str">
        <f>CONCATENATE("(","'",TEXT(A178,"dd.m.rrrrr"),"'",L178,"'",B178,"'",L178,"'",C178,"'",L178,"'",D178,"'",L178,"'",E178,"'",L178,"'",F178,"'",L178,"'",G178,"'",L178,"'",H178,"'",L178,"'",I178,"'",")")</f>
        <v>('28.2.2020', '49', '49 th round', 'ZLN', 'Friday', 'Away', '3:4pp', '12', '57')</v>
      </c>
      <c r="W178" t="str">
        <f t="shared" si="2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</v>
      </c>
    </row>
    <row r="179" spans="1:23" x14ac:dyDescent="0.25">
      <c r="A179" s="2">
        <v>43891</v>
      </c>
      <c r="B179" s="1">
        <v>50</v>
      </c>
      <c r="C179" s="1" t="s">
        <v>138</v>
      </c>
      <c r="D179" s="1" t="s">
        <v>10</v>
      </c>
      <c r="E179" s="1" t="s">
        <v>57</v>
      </c>
      <c r="F179" s="1" t="s">
        <v>157</v>
      </c>
      <c r="G179" s="11" t="s">
        <v>186</v>
      </c>
      <c r="H179" s="1">
        <v>11</v>
      </c>
      <c r="I179" s="1">
        <v>60</v>
      </c>
      <c r="L179" t="s">
        <v>154</v>
      </c>
      <c r="M179" t="str">
        <f>CONCATENATE("(","'",TEXT(A179,"dd.m.rrrrr"),"'",L179,"'",B179,"'",L179,"'",C179,"'",L179,"'",D179,"'",L179,"'",E179,"'",L179,"'",F179,"'",L179,"'",G179,"'",L179,"'",H179,"'",L179,"'",I179,"'",")")</f>
        <v>('01.3.2020', '50', '50 th round', 'VIT', 'Sunday', 'Home', '4:0', '11', '60')</v>
      </c>
      <c r="W179" t="str">
        <f t="shared" si="2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</v>
      </c>
    </row>
    <row r="180" spans="1:23" x14ac:dyDescent="0.25">
      <c r="A180" s="2">
        <v>43893</v>
      </c>
      <c r="B180" s="1">
        <v>51</v>
      </c>
      <c r="C180" s="1" t="s">
        <v>139</v>
      </c>
      <c r="D180" s="1" t="s">
        <v>4</v>
      </c>
      <c r="E180" s="1" t="s">
        <v>59</v>
      </c>
      <c r="F180" s="1" t="s">
        <v>155</v>
      </c>
      <c r="G180" s="11" t="s">
        <v>168</v>
      </c>
      <c r="H180" s="1">
        <v>13</v>
      </c>
      <c r="I180" s="1">
        <v>60</v>
      </c>
      <c r="L180" t="s">
        <v>154</v>
      </c>
      <c r="M180" t="str">
        <f>CONCATENATE("(","'",TEXT(A180,"dd.m.rrrrr"),"'",L180,"'",B180,"'",L180,"'",C180,"'",L180,"'",D180,"'",L180,"'",E180,"'",L180,"'",F180,"'",L180,"'",G180,"'",L180,"'",H180,"'",L180,"'",I180,"'",")")</f>
        <v>('03.3.2020', '51', '51 th round', 'OLO', 'Tuesday', 'Away', '1:3', '13', '60')</v>
      </c>
      <c r="W180" t="str">
        <f t="shared" si="2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</v>
      </c>
    </row>
    <row r="181" spans="1:23" x14ac:dyDescent="0.25">
      <c r="A181" s="2">
        <v>43896</v>
      </c>
      <c r="B181" s="1">
        <v>52</v>
      </c>
      <c r="C181" s="1" t="s">
        <v>140</v>
      </c>
      <c r="D181" s="1" t="s">
        <v>28</v>
      </c>
      <c r="E181" s="1" t="s">
        <v>55</v>
      </c>
      <c r="F181" s="1" t="s">
        <v>157</v>
      </c>
      <c r="G181" s="11" t="s">
        <v>201</v>
      </c>
      <c r="H181" s="4">
        <v>12</v>
      </c>
      <c r="I181" s="4">
        <v>63</v>
      </c>
      <c r="L181" t="s">
        <v>154</v>
      </c>
      <c r="M181" t="str">
        <f>CONCATENATE("(","'",TEXT(A181,"dd.m.rrrrr"),"'",L181,"'",B181,"'",L181,"'",C181,"'",L181,"'",D181,"'",L181,"'",E181,"'",L181,"'",F181,"'",L181,"'",G181,"'",L181,"'",H181,"'",L181,"'",I181,"'",")")</f>
        <v>('06.3.2020', '52', '52 th round', 'KLA', 'Friday', 'Home', '6:2', '12', '63')</v>
      </c>
      <c r="W181" t="str">
        <f t="shared" si="2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</v>
      </c>
    </row>
    <row r="182" spans="1:23" x14ac:dyDescent="0.25">
      <c r="A182" s="2">
        <v>44094</v>
      </c>
      <c r="B182" s="1">
        <v>1</v>
      </c>
      <c r="C182" s="1" t="s">
        <v>108</v>
      </c>
      <c r="D182" s="1" t="s">
        <v>2</v>
      </c>
      <c r="E182" s="1" t="s">
        <v>57</v>
      </c>
      <c r="F182" s="1" t="s">
        <v>157</v>
      </c>
      <c r="G182" s="11" t="s">
        <v>175</v>
      </c>
      <c r="H182" s="1">
        <v>12</v>
      </c>
      <c r="I182" s="1">
        <v>0</v>
      </c>
      <c r="L182" t="s">
        <v>154</v>
      </c>
      <c r="M182" t="str">
        <f>CONCATENATE("(","'",TEXT(A182,"dd.m.rrrrr"),"'",L182,"'",B182,"'",L182,"'",C182,"'",L182,"'",D182,"'",L182,"'",E182,"'",L182,"'",F182,"'",L182,"'",G182,"'",L182,"'",H182,"'",L182,"'",I182,"'",")")</f>
        <v>('20.9.2020', '1', '20 th round', 'HRK', 'Sunday', 'Home', '2:4', '12', '0')</v>
      </c>
      <c r="W182" t="str">
        <f t="shared" si="2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</v>
      </c>
    </row>
    <row r="183" spans="1:23" x14ac:dyDescent="0.25">
      <c r="A183" s="2">
        <v>44096</v>
      </c>
      <c r="B183" s="1">
        <v>2</v>
      </c>
      <c r="C183" s="1" t="s">
        <v>99</v>
      </c>
      <c r="D183" s="1" t="s">
        <v>6</v>
      </c>
      <c r="E183" s="1" t="s">
        <v>59</v>
      </c>
      <c r="F183" s="1" t="s">
        <v>157</v>
      </c>
      <c r="G183" s="11" t="s">
        <v>183</v>
      </c>
      <c r="H183" s="1">
        <v>12</v>
      </c>
      <c r="I183" s="1">
        <v>0</v>
      </c>
      <c r="L183" t="s">
        <v>154</v>
      </c>
      <c r="M183" t="str">
        <f>CONCATENATE("(","'",TEXT(A183,"dd.m.rrrrr"),"'",L183,"'",B183,"'",L183,"'",C183,"'",L183,"'",D183,"'",L183,"'",E183,"'",L183,"'",F183,"'",L183,"'",G183,"'",L183,"'",H183,"'",L183,"'",I183,"'",")")</f>
        <v>('22.9.2020', '2', '11 th round', 'TRI', 'Tuesday', 'Home', '3:6', '12', '0')</v>
      </c>
      <c r="W183" t="str">
        <f t="shared" si="2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</v>
      </c>
    </row>
    <row r="184" spans="1:23" x14ac:dyDescent="0.25">
      <c r="A184" s="2">
        <v>44115</v>
      </c>
      <c r="B184" s="1">
        <v>3</v>
      </c>
      <c r="C184" s="1" t="s">
        <v>97</v>
      </c>
      <c r="D184" s="1" t="s">
        <v>3</v>
      </c>
      <c r="E184" s="1" t="s">
        <v>57</v>
      </c>
      <c r="F184" s="1" t="s">
        <v>157</v>
      </c>
      <c r="G184" s="11" t="s">
        <v>168</v>
      </c>
      <c r="H184" s="1">
        <v>14</v>
      </c>
      <c r="I184" s="1">
        <v>0</v>
      </c>
      <c r="L184" t="s">
        <v>154</v>
      </c>
      <c r="M184" t="str">
        <f>CONCATENATE("(","'",TEXT(A184,"dd.m.rrrrr"),"'",L184,"'",B184,"'",L184,"'",C184,"'",L184,"'",D184,"'",L184,"'",E184,"'",L184,"'",F184,"'",L184,"'",G184,"'",L184,"'",H184,"'",L184,"'",I184,"'",")")</f>
        <v>('11.10.2020', '3', '9 th round', 'SPA', 'Sunday', 'Home', '1:3', '14', '0')</v>
      </c>
      <c r="W184" t="str">
        <f t="shared" si="2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</v>
      </c>
    </row>
    <row r="185" spans="1:23" x14ac:dyDescent="0.25">
      <c r="A185" s="2">
        <v>44142</v>
      </c>
      <c r="B185" s="1">
        <v>4</v>
      </c>
      <c r="C185" s="1" t="s">
        <v>92</v>
      </c>
      <c r="D185" s="1" t="s">
        <v>0</v>
      </c>
      <c r="E185" s="1" t="s">
        <v>56</v>
      </c>
      <c r="F185" s="1" t="s">
        <v>157</v>
      </c>
      <c r="G185" s="11" t="s">
        <v>169</v>
      </c>
      <c r="H185" s="1">
        <v>14</v>
      </c>
      <c r="I185" s="1">
        <v>0</v>
      </c>
      <c r="L185" t="s">
        <v>154</v>
      </c>
      <c r="M185" t="str">
        <f>CONCATENATE("(","'",TEXT(A185,"dd.m.rrrrr"),"'",L185,"'",B185,"'",L185,"'",C185,"'",L185,"'",D185,"'",L185,"'",E185,"'",L185,"'",F185,"'",L185,"'",G185,"'",L185,"'",H185,"'",L185,"'",I185,"'",")")</f>
        <v>('07.11.2020', '4', '4 th round', 'PLZ', 'Saturday', 'Home', '1:4', '14', '0')</v>
      </c>
      <c r="W185" t="str">
        <f t="shared" si="2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</v>
      </c>
    </row>
    <row r="186" spans="1:23" x14ac:dyDescent="0.25">
      <c r="A186" s="2">
        <v>44144</v>
      </c>
      <c r="B186" s="1">
        <v>5</v>
      </c>
      <c r="C186" s="1" t="s">
        <v>103</v>
      </c>
      <c r="D186" s="1" t="s">
        <v>11</v>
      </c>
      <c r="E186" s="1" t="s">
        <v>58</v>
      </c>
      <c r="F186" s="1" t="s">
        <v>155</v>
      </c>
      <c r="G186" s="11" t="s">
        <v>188</v>
      </c>
      <c r="H186" s="1">
        <v>12</v>
      </c>
      <c r="I186" s="1">
        <v>3</v>
      </c>
      <c r="L186" t="s">
        <v>154</v>
      </c>
      <c r="M186" t="str">
        <f>CONCATENATE("(","'",TEXT(A186,"dd.m.rrrrr"),"'",L186,"'",B186,"'",L186,"'",C186,"'",L186,"'",D186,"'",L186,"'",E186,"'",L186,"'",F186,"'",L186,"'",G186,"'",L186,"'",H186,"'",L186,"'",I186,"'",")")</f>
        <v>('09.11.2020', '5', '15 th round', 'BRN', 'Monday', 'Away', '4:2', '12', '3')</v>
      </c>
      <c r="W186" t="str">
        <f t="shared" si="2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</v>
      </c>
    </row>
    <row r="187" spans="1:23" x14ac:dyDescent="0.25">
      <c r="A187" s="2">
        <v>44148</v>
      </c>
      <c r="B187" s="1">
        <v>6</v>
      </c>
      <c r="C187" s="1" t="s">
        <v>105</v>
      </c>
      <c r="D187" s="1" t="s">
        <v>0</v>
      </c>
      <c r="E187" s="1" t="s">
        <v>55</v>
      </c>
      <c r="F187" s="1" t="s">
        <v>155</v>
      </c>
      <c r="G187" s="3" t="s">
        <v>29</v>
      </c>
      <c r="H187" s="1">
        <v>12</v>
      </c>
      <c r="I187" s="1">
        <v>4</v>
      </c>
      <c r="L187" t="s">
        <v>154</v>
      </c>
      <c r="M187" t="str">
        <f>CONCATENATE("(","'",TEXT(A187,"dd.m.rrrrr"),"'",L187,"'",B187,"'",L187,"'",C187,"'",L187,"'",D187,"'",L187,"'",E187,"'",L187,"'",F187,"'",L187,"'",G187,"'",L187,"'",H187,"'",L187,"'",I187,"'",")")</f>
        <v>('13.11.2020', '6', '17 th round', 'PLZ', 'Friday', 'Away', '1:2sn', '12', '4')</v>
      </c>
      <c r="W187" t="str">
        <f t="shared" si="2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</v>
      </c>
    </row>
    <row r="188" spans="1:23" x14ac:dyDescent="0.25">
      <c r="A188" s="2">
        <v>44150</v>
      </c>
      <c r="B188" s="1">
        <v>7</v>
      </c>
      <c r="C188" s="1" t="s">
        <v>106</v>
      </c>
      <c r="D188" s="1" t="s">
        <v>27</v>
      </c>
      <c r="E188" s="1" t="s">
        <v>57</v>
      </c>
      <c r="F188" s="1" t="s">
        <v>157</v>
      </c>
      <c r="G188" s="11" t="s">
        <v>167</v>
      </c>
      <c r="H188" s="1">
        <v>12</v>
      </c>
      <c r="I188" s="1">
        <v>4</v>
      </c>
      <c r="L188" t="s">
        <v>154</v>
      </c>
      <c r="M188" t="str">
        <f>CONCATENATE("(","'",TEXT(A188,"dd.m.rrrrr"),"'",L188,"'",B188,"'",L188,"'",C188,"'",L188,"'",D188,"'",L188,"'",E188,"'",L188,"'",F188,"'",L188,"'",G188,"'",L188,"'",H188,"'",L188,"'",I188,"'",")")</f>
        <v>('15.11.2020', '7', '18 th round', 'KVA', 'Sunday', 'Home', '1:2', '12', '4')</v>
      </c>
      <c r="W188" t="str">
        <f t="shared" si="2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</v>
      </c>
    </row>
    <row r="189" spans="1:23" x14ac:dyDescent="0.25">
      <c r="A189" s="2">
        <v>44152</v>
      </c>
      <c r="B189" s="1">
        <v>8</v>
      </c>
      <c r="C189" s="1" t="s">
        <v>101</v>
      </c>
      <c r="D189" s="1" t="s">
        <v>5</v>
      </c>
      <c r="E189" s="1" t="s">
        <v>59</v>
      </c>
      <c r="F189" s="1" t="s">
        <v>157</v>
      </c>
      <c r="G189" s="11" t="s">
        <v>166</v>
      </c>
      <c r="H189" s="1">
        <v>11</v>
      </c>
      <c r="I189" s="1">
        <v>7</v>
      </c>
      <c r="L189" t="s">
        <v>154</v>
      </c>
      <c r="M189" t="str">
        <f>CONCATENATE("(","'",TEXT(A189,"dd.m.rrrrr"),"'",L189,"'",B189,"'",L189,"'",C189,"'",L189,"'",D189,"'",L189,"'",E189,"'",L189,"'",F189,"'",L189,"'",G189,"'",L189,"'",H189,"'",L189,"'",I189,"'",")")</f>
        <v>('17.11.2020', '8', '13 th round', 'ZLN', 'Tuesday', 'Home', '1:0', '11', '7')</v>
      </c>
      <c r="W189" t="str">
        <f t="shared" si="2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</v>
      </c>
    </row>
    <row r="190" spans="1:23" x14ac:dyDescent="0.25">
      <c r="A190" s="2">
        <v>44155</v>
      </c>
      <c r="B190" s="1">
        <v>9</v>
      </c>
      <c r="C190" s="1" t="s">
        <v>66</v>
      </c>
      <c r="D190" s="1" t="s">
        <v>1</v>
      </c>
      <c r="E190" s="1" t="s">
        <v>55</v>
      </c>
      <c r="F190" s="1" t="s">
        <v>155</v>
      </c>
      <c r="G190" s="1" t="s">
        <v>34</v>
      </c>
      <c r="H190" s="1">
        <v>10</v>
      </c>
      <c r="I190" s="1">
        <v>9</v>
      </c>
      <c r="L190" t="s">
        <v>154</v>
      </c>
      <c r="M190" t="str">
        <f>CONCATENATE("(","'",TEXT(A190,"dd.m.rrrrr"),"'",L190,"'",B190,"'",L190,"'",C190,"'",L190,"'",D190,"'",L190,"'",E190,"'",L190,"'",F190,"'",L190,"'",G190,"'",L190,"'",H190,"'",L190,"'",I190,"'",")")</f>
        <v>('20.11.2020', '9', '3rd round', 'LIB', 'Friday', 'Away', '2:1sn', '10', '9')</v>
      </c>
      <c r="W190" t="str">
        <f t="shared" si="2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</v>
      </c>
    </row>
    <row r="191" spans="1:23" x14ac:dyDescent="0.25">
      <c r="A191" s="2">
        <v>44157</v>
      </c>
      <c r="B191" s="1">
        <v>10</v>
      </c>
      <c r="C191" s="1" t="s">
        <v>95</v>
      </c>
      <c r="D191" s="1" t="s">
        <v>2</v>
      </c>
      <c r="E191" s="1" t="s">
        <v>57</v>
      </c>
      <c r="F191" s="1" t="s">
        <v>155</v>
      </c>
      <c r="G191" s="11" t="s">
        <v>169</v>
      </c>
      <c r="H191" s="1">
        <v>11</v>
      </c>
      <c r="I191" s="1">
        <v>9</v>
      </c>
      <c r="L191" t="s">
        <v>154</v>
      </c>
      <c r="M191" t="str">
        <f>CONCATENATE("(","'",TEXT(A191,"dd.m.rrrrr"),"'",L191,"'",B191,"'",L191,"'",C191,"'",L191,"'",D191,"'",L191,"'",E191,"'",L191,"'",F191,"'",L191,"'",G191,"'",L191,"'",H191,"'",L191,"'",I191,"'",")")</f>
        <v>('22.11.2020', '10', '7 th round', 'HRK', 'Sunday', 'Away', '1:4', '11', '9')</v>
      </c>
      <c r="W191" t="str">
        <f t="shared" si="2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</v>
      </c>
    </row>
    <row r="192" spans="1:23" x14ac:dyDescent="0.25">
      <c r="A192" s="2">
        <v>44159</v>
      </c>
      <c r="B192" s="1">
        <v>11</v>
      </c>
      <c r="C192" s="1" t="s">
        <v>94</v>
      </c>
      <c r="D192" s="1" t="s">
        <v>4</v>
      </c>
      <c r="E192" s="1" t="s">
        <v>59</v>
      </c>
      <c r="F192" s="1" t="s">
        <v>157</v>
      </c>
      <c r="G192" s="3" t="s">
        <v>14</v>
      </c>
      <c r="H192" s="1">
        <v>11</v>
      </c>
      <c r="I192" s="1">
        <v>11</v>
      </c>
      <c r="L192" t="s">
        <v>154</v>
      </c>
      <c r="M192" t="str">
        <f>CONCATENATE("(","'",TEXT(A192,"dd.m.rrrrr"),"'",L192,"'",B192,"'",L192,"'",C192,"'",L192,"'",D192,"'",L192,"'",E192,"'",L192,"'",F192,"'",L192,"'",G192,"'",L192,"'",H192,"'",L192,"'",I192,"'",")")</f>
        <v>('24.11.2020', '11', '6 th round', 'OLO', 'Tuesday', 'Home', '4:3sn', '11', '11')</v>
      </c>
      <c r="W192" t="str">
        <f t="shared" si="2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</v>
      </c>
    </row>
    <row r="193" spans="1:23" x14ac:dyDescent="0.25">
      <c r="A193" s="2">
        <v>44162</v>
      </c>
      <c r="B193" s="1">
        <v>12</v>
      </c>
      <c r="C193" s="1" t="s">
        <v>109</v>
      </c>
      <c r="D193" s="1" t="s">
        <v>9</v>
      </c>
      <c r="E193" s="1" t="s">
        <v>55</v>
      </c>
      <c r="F193" s="1" t="s">
        <v>155</v>
      </c>
      <c r="G193" s="11" t="s">
        <v>167</v>
      </c>
      <c r="H193" s="1">
        <v>11</v>
      </c>
      <c r="I193" s="1">
        <v>11</v>
      </c>
      <c r="L193" t="s">
        <v>154</v>
      </c>
      <c r="M193" t="str">
        <f>CONCATENATE("(","'",TEXT(A193,"dd.m.rrrrr"),"'",L193,"'",B193,"'",L193,"'",C193,"'",L193,"'",D193,"'",L193,"'",E193,"'",L193,"'",F193,"'",L193,"'",G193,"'",L193,"'",H193,"'",L193,"'",I193,"'",")")</f>
        <v>('27.11.2020', '12', '21 th round', 'PAR', 'Friday', 'Away', '1:2', '11', '11')</v>
      </c>
      <c r="W193" t="str">
        <f t="shared" si="2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</v>
      </c>
    </row>
    <row r="194" spans="1:23" x14ac:dyDescent="0.25">
      <c r="A194" s="2">
        <v>44164</v>
      </c>
      <c r="B194" s="1">
        <v>13</v>
      </c>
      <c r="C194" s="1" t="s">
        <v>110</v>
      </c>
      <c r="D194" s="1" t="s">
        <v>3</v>
      </c>
      <c r="E194" s="1" t="s">
        <v>57</v>
      </c>
      <c r="F194" s="1" t="s">
        <v>155</v>
      </c>
      <c r="G194" s="3" t="s">
        <v>32</v>
      </c>
      <c r="H194" s="4">
        <v>11</v>
      </c>
      <c r="I194" s="4">
        <v>13</v>
      </c>
      <c r="L194" t="s">
        <v>154</v>
      </c>
      <c r="M194" t="str">
        <f>CONCATENATE("(","'",TEXT(A194,"dd.m.rrrrr"),"'",L194,"'",B194,"'",L194,"'",C194,"'",L194,"'",D194,"'",L194,"'",E194,"'",L194,"'",F194,"'",L194,"'",G194,"'",L194,"'",H194,"'",L194,"'",I194,"'",")")</f>
        <v>('29.11.2020', '13', '22 th round', 'SPA', 'Sunday', 'Away', '3:2sn', '11', '13')</v>
      </c>
      <c r="W194" t="str">
        <f t="shared" si="2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</v>
      </c>
    </row>
    <row r="195" spans="1:23" x14ac:dyDescent="0.25">
      <c r="A195" s="2">
        <v>44166</v>
      </c>
      <c r="B195" s="1">
        <v>14</v>
      </c>
      <c r="C195" s="1" t="s">
        <v>111</v>
      </c>
      <c r="D195" s="1" t="s">
        <v>7</v>
      </c>
      <c r="E195" s="1" t="s">
        <v>59</v>
      </c>
      <c r="F195" s="1" t="s">
        <v>157</v>
      </c>
      <c r="G195" s="11" t="s">
        <v>175</v>
      </c>
      <c r="H195" s="1">
        <v>12</v>
      </c>
      <c r="I195" s="1">
        <v>13</v>
      </c>
      <c r="L195" t="s">
        <v>154</v>
      </c>
      <c r="M195" t="str">
        <f>CONCATENATE("(","'",TEXT(A195,"dd.m.rrrrr"),"'",L195,"'",B195,"'",L195,"'",C195,"'",L195,"'",D195,"'",L195,"'",E195,"'",L195,"'",F195,"'",L195,"'",G195,"'",L195,"'",H195,"'",L195,"'",I195,"'",")")</f>
        <v>('01.12.2020', '14', '23 th round', 'MBO', 'Tuesday', 'Home', '2:4', '12', '13')</v>
      </c>
      <c r="W195" t="str">
        <f t="shared" si="2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</v>
      </c>
    </row>
    <row r="196" spans="1:23" x14ac:dyDescent="0.25">
      <c r="A196" s="2">
        <v>44169</v>
      </c>
      <c r="B196" s="1">
        <v>15</v>
      </c>
      <c r="C196" s="1" t="s">
        <v>112</v>
      </c>
      <c r="D196" s="1" t="s">
        <v>6</v>
      </c>
      <c r="E196" s="1" t="s">
        <v>55</v>
      </c>
      <c r="F196" s="1" t="s">
        <v>155</v>
      </c>
      <c r="G196" s="11" t="s">
        <v>175</v>
      </c>
      <c r="H196" s="1">
        <v>13</v>
      </c>
      <c r="I196" s="1">
        <v>13</v>
      </c>
      <c r="L196" t="s">
        <v>154</v>
      </c>
      <c r="M196" t="str">
        <f>CONCATENATE("(","'",TEXT(A196,"dd.m.rrrrr"),"'",L196,"'",B196,"'",L196,"'",C196,"'",L196,"'",D196,"'",L196,"'",E196,"'",L196,"'",F196,"'",L196,"'",G196,"'",L196,"'",H196,"'",L196,"'",I196,"'",")")</f>
        <v>('04.12.2020', '15', '24 th round', 'TRI', 'Friday', 'Away', '2:4', '13', '13')</v>
      </c>
      <c r="W196" t="str">
        <f t="shared" si="2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</v>
      </c>
    </row>
    <row r="197" spans="1:23" x14ac:dyDescent="0.25">
      <c r="A197" s="2">
        <v>44171</v>
      </c>
      <c r="B197" s="1">
        <v>16</v>
      </c>
      <c r="C197" s="1" t="s">
        <v>113</v>
      </c>
      <c r="D197" s="1" t="s">
        <v>36</v>
      </c>
      <c r="E197" s="1" t="s">
        <v>57</v>
      </c>
      <c r="F197" s="1" t="s">
        <v>157</v>
      </c>
      <c r="G197" s="11" t="s">
        <v>180</v>
      </c>
      <c r="H197" s="1">
        <v>13</v>
      </c>
      <c r="I197" s="1">
        <v>16</v>
      </c>
      <c r="L197" t="s">
        <v>154</v>
      </c>
      <c r="M197" t="str">
        <f>CONCATENATE("(","'",TEXT(A197,"dd.m.rrrrr"),"'",L197,"'",B197,"'",L197,"'",C197,"'",L197,"'",D197,"'",L197,"'",E197,"'",L197,"'",F197,"'",L197,"'",G197,"'",L197,"'",H197,"'",L197,"'",I197,"'",")")</f>
        <v>('06.12.2020', '16', '25 th round', 'BUD', 'Sunday', 'Home', '3:2', '13', '16')</v>
      </c>
      <c r="W197" t="str">
        <f t="shared" ref="W197:W260" si="3">CONCATENATE(W196,", ",M197)</f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</v>
      </c>
    </row>
    <row r="198" spans="1:23" x14ac:dyDescent="0.25">
      <c r="A198" s="2">
        <v>44173</v>
      </c>
      <c r="B198" s="1">
        <v>17</v>
      </c>
      <c r="C198" s="1" t="s">
        <v>102</v>
      </c>
      <c r="D198" s="1" t="s">
        <v>10</v>
      </c>
      <c r="E198" s="1" t="s">
        <v>59</v>
      </c>
      <c r="F198" s="1" t="s">
        <v>157</v>
      </c>
      <c r="G198" s="3" t="s">
        <v>30</v>
      </c>
      <c r="H198" s="1">
        <v>10</v>
      </c>
      <c r="I198" s="1">
        <v>18</v>
      </c>
      <c r="L198" t="s">
        <v>154</v>
      </c>
      <c r="M198" t="str">
        <f>CONCATENATE("(","'",TEXT(A198,"dd.m.rrrrr"),"'",L198,"'",B198,"'",L198,"'",C198,"'",L198,"'",D198,"'",L198,"'",E198,"'",L198,"'",F198,"'",L198,"'",G198,"'",L198,"'",H198,"'",L198,"'",I198,"'",")")</f>
        <v>('08.12.2020', '17', '14 th round', 'VIT', 'Tuesday', 'Home', '1:0pp', '10', '18')</v>
      </c>
      <c r="W198" t="str">
        <f t="shared" si="3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</v>
      </c>
    </row>
    <row r="199" spans="1:23" x14ac:dyDescent="0.25">
      <c r="A199" s="2">
        <v>44177</v>
      </c>
      <c r="B199" s="1">
        <v>18</v>
      </c>
      <c r="C199" s="1" t="s">
        <v>114</v>
      </c>
      <c r="D199" s="1" t="s">
        <v>5</v>
      </c>
      <c r="E199" s="1" t="s">
        <v>56</v>
      </c>
      <c r="F199" s="1" t="s">
        <v>155</v>
      </c>
      <c r="G199" s="11" t="s">
        <v>172</v>
      </c>
      <c r="H199" s="1">
        <v>8</v>
      </c>
      <c r="I199" s="1">
        <v>21</v>
      </c>
      <c r="L199" t="s">
        <v>154</v>
      </c>
      <c r="M199" t="str">
        <f>CONCATENATE("(","'",TEXT(A199,"dd.m.rrrrr"),"'",L199,"'",B199,"'",L199,"'",C199,"'",L199,"'",D199,"'",L199,"'",E199,"'",L199,"'",F199,"'",L199,"'",G199,"'",L199,"'",H199,"'",L199,"'",I199,"'",")")</f>
        <v>('12.12.2020', '18', '26 th round', 'ZLN', 'Saturday', 'Away', '2:0', '8', '21')</v>
      </c>
      <c r="W199" t="str">
        <f t="shared" si="3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</v>
      </c>
    </row>
    <row r="200" spans="1:23" x14ac:dyDescent="0.25">
      <c r="A200" s="2">
        <v>44178</v>
      </c>
      <c r="B200" s="1">
        <v>19</v>
      </c>
      <c r="C200" s="1" t="s">
        <v>115</v>
      </c>
      <c r="D200" s="1" t="s">
        <v>10</v>
      </c>
      <c r="E200" s="1" t="s">
        <v>57</v>
      </c>
      <c r="F200" s="1" t="s">
        <v>155</v>
      </c>
      <c r="G200" s="11" t="s">
        <v>177</v>
      </c>
      <c r="H200" s="1">
        <v>11</v>
      </c>
      <c r="I200" s="1">
        <v>21</v>
      </c>
      <c r="L200" t="s">
        <v>154</v>
      </c>
      <c r="M200" t="str">
        <f>CONCATENATE("(","'",TEXT(A200,"dd.m.rrrrr"),"'",L200,"'",B200,"'",L200,"'",C200,"'",L200,"'",D200,"'",L200,"'",E200,"'",L200,"'",F200,"'",L200,"'",G200,"'",L200,"'",H200,"'",L200,"'",I200,"'",")")</f>
        <v>('13.12.2020', '19', '27 th round', 'VIT', 'Sunday', 'Away', '2:6', '11', '21')</v>
      </c>
      <c r="W200" t="str">
        <f t="shared" si="3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</v>
      </c>
    </row>
    <row r="201" spans="1:23" x14ac:dyDescent="0.25">
      <c r="A201" s="2">
        <v>44180</v>
      </c>
      <c r="B201" s="1">
        <v>20</v>
      </c>
      <c r="C201" s="1" t="s">
        <v>96</v>
      </c>
      <c r="D201" s="1" t="s">
        <v>9</v>
      </c>
      <c r="E201" s="1" t="s">
        <v>59</v>
      </c>
      <c r="F201" s="1" t="s">
        <v>157</v>
      </c>
      <c r="G201" s="3" t="s">
        <v>29</v>
      </c>
      <c r="H201" s="1">
        <v>11</v>
      </c>
      <c r="I201" s="1">
        <v>22</v>
      </c>
      <c r="L201" t="s">
        <v>154</v>
      </c>
      <c r="M201" t="str">
        <f>CONCATENATE("(","'",TEXT(A201,"dd.m.rrrrr"),"'",L201,"'",B201,"'",L201,"'",C201,"'",L201,"'",D201,"'",L201,"'",E201,"'",L201,"'",F201,"'",L201,"'",G201,"'",L201,"'",H201,"'",L201,"'",I201,"'",")")</f>
        <v>('15.12.2020', '20', '8 th round', 'PAR', 'Tuesday', 'Home', '1:2sn', '11', '22')</v>
      </c>
      <c r="W201" t="str">
        <f t="shared" si="3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</v>
      </c>
    </row>
    <row r="202" spans="1:23" x14ac:dyDescent="0.25">
      <c r="A202" s="2">
        <v>44186</v>
      </c>
      <c r="B202" s="1">
        <v>21</v>
      </c>
      <c r="C202" s="1" t="s">
        <v>65</v>
      </c>
      <c r="D202" s="1" t="s">
        <v>11</v>
      </c>
      <c r="E202" s="1" t="s">
        <v>58</v>
      </c>
      <c r="F202" s="1" t="s">
        <v>157</v>
      </c>
      <c r="G202" s="3" t="s">
        <v>47</v>
      </c>
      <c r="H202" s="1">
        <v>12</v>
      </c>
      <c r="I202" s="1">
        <v>23</v>
      </c>
      <c r="L202" t="s">
        <v>154</v>
      </c>
      <c r="M202" t="str">
        <f>CONCATENATE("(","'",TEXT(A202,"dd.m.rrrrr"),"'",L202,"'",B202,"'",L202,"'",C202,"'",L202,"'",D202,"'",L202,"'",E202,"'",L202,"'",F202,"'",L202,"'",G202,"'",L202,"'",H202,"'",L202,"'",I202,"'",")")</f>
        <v>('21.12.2020', '21', '2nd round', 'BRN', 'Monday', 'Home', '6:7sn', '12', '23')</v>
      </c>
      <c r="W202" t="str">
        <f t="shared" si="3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</v>
      </c>
    </row>
    <row r="203" spans="1:23" x14ac:dyDescent="0.25">
      <c r="A203" s="2">
        <v>44187</v>
      </c>
      <c r="B203" s="1">
        <v>22</v>
      </c>
      <c r="C203" s="1" t="s">
        <v>116</v>
      </c>
      <c r="D203" s="1" t="s">
        <v>11</v>
      </c>
      <c r="E203" s="1" t="s">
        <v>59</v>
      </c>
      <c r="F203" s="1" t="s">
        <v>157</v>
      </c>
      <c r="G203" s="3" t="s">
        <v>15</v>
      </c>
      <c r="H203" s="1">
        <v>10</v>
      </c>
      <c r="I203" s="1">
        <v>25</v>
      </c>
      <c r="L203" t="s">
        <v>154</v>
      </c>
      <c r="M203" t="str">
        <f>CONCATENATE("(","'",TEXT(A203,"dd.m.rrrrr"),"'",L203,"'",B203,"'",L203,"'",C203,"'",L203,"'",D203,"'",L203,"'",E203,"'",L203,"'",F203,"'",L203,"'",G203,"'",L203,"'",H203,"'",L203,"'",I203,"'",")")</f>
        <v>('22.12.2020', '22', '28 th round', 'BRN', 'Tuesday', 'Home', '2:1pp', '10', '25')</v>
      </c>
      <c r="W203" t="str">
        <f t="shared" si="3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</v>
      </c>
    </row>
    <row r="204" spans="1:23" x14ac:dyDescent="0.25">
      <c r="A204" s="2">
        <v>44191</v>
      </c>
      <c r="B204" s="1">
        <v>23</v>
      </c>
      <c r="C204" s="1" t="s">
        <v>117</v>
      </c>
      <c r="D204" s="1" t="s">
        <v>1</v>
      </c>
      <c r="E204" s="1" t="s">
        <v>56</v>
      </c>
      <c r="F204" s="1" t="s">
        <v>155</v>
      </c>
      <c r="G204" s="11" t="s">
        <v>183</v>
      </c>
      <c r="H204" s="9">
        <v>11</v>
      </c>
      <c r="I204" s="1">
        <v>25</v>
      </c>
      <c r="L204" t="s">
        <v>154</v>
      </c>
      <c r="M204" t="str">
        <f>CONCATENATE("(","'",TEXT(A204,"dd.m.rrrrr"),"'",L204,"'",B204,"'",L204,"'",C204,"'",L204,"'",D204,"'",L204,"'",E204,"'",L204,"'",F204,"'",L204,"'",G204,"'",L204,"'",H204,"'",L204,"'",I204,"'",")")</f>
        <v>('26.12.2020', '23', '29 th round', 'LIB', 'Saturday', 'Away', '3:6', '11', '25')</v>
      </c>
      <c r="W204" t="str">
        <f t="shared" si="3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</v>
      </c>
    </row>
    <row r="205" spans="1:23" x14ac:dyDescent="0.25">
      <c r="A205" s="2">
        <v>44193</v>
      </c>
      <c r="B205" s="1">
        <v>24</v>
      </c>
      <c r="C205" s="1" t="s">
        <v>118</v>
      </c>
      <c r="D205" s="1" t="s">
        <v>0</v>
      </c>
      <c r="E205" s="1" t="s">
        <v>58</v>
      </c>
      <c r="F205" s="1" t="s">
        <v>157</v>
      </c>
      <c r="G205" s="11" t="s">
        <v>163</v>
      </c>
      <c r="H205" s="1">
        <v>12</v>
      </c>
      <c r="I205" s="1">
        <v>25</v>
      </c>
      <c r="L205" t="s">
        <v>154</v>
      </c>
      <c r="M205" t="str">
        <f>CONCATENATE("(","'",TEXT(A205,"dd.m.rrrrr"),"'",L205,"'",B205,"'",L205,"'",C205,"'",L205,"'",D205,"'",L205,"'",E205,"'",L205,"'",F205,"'",L205,"'",G205,"'",L205,"'",H205,"'",L205,"'",I205,"'",")")</f>
        <v>('28.12.2020', '24', '30 th round', 'PLZ', 'Monday', 'Home', '0:3', '12', '25')</v>
      </c>
      <c r="W205" t="str">
        <f t="shared" si="3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</v>
      </c>
    </row>
    <row r="206" spans="1:23" x14ac:dyDescent="0.25">
      <c r="A206" s="2">
        <v>44195</v>
      </c>
      <c r="B206" s="1">
        <v>25</v>
      </c>
      <c r="C206" s="1" t="s">
        <v>119</v>
      </c>
      <c r="D206" s="1" t="s">
        <v>27</v>
      </c>
      <c r="E206" s="1" t="s">
        <v>60</v>
      </c>
      <c r="F206" s="1" t="s">
        <v>155</v>
      </c>
      <c r="G206" s="3" t="s">
        <v>31</v>
      </c>
      <c r="H206" s="1">
        <v>12</v>
      </c>
      <c r="I206" s="1">
        <v>27</v>
      </c>
      <c r="L206" t="s">
        <v>154</v>
      </c>
      <c r="M206" t="str">
        <f>CONCATENATE("(","'",TEXT(A206,"dd.m.rrrrr"),"'",L206,"'",B206,"'",L206,"'",C206,"'",L206,"'",D206,"'",L206,"'",E206,"'",L206,"'",F206,"'",L206,"'",G206,"'",L206,"'",H206,"'",L206,"'",I206,"'",")")</f>
        <v>('30.12.2020', '25', '31 th round', 'KVA', 'Wednesday', 'Away', '3:2pp', '12', '27')</v>
      </c>
      <c r="W206" t="str">
        <f t="shared" si="3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</v>
      </c>
    </row>
    <row r="207" spans="1:23" x14ac:dyDescent="0.25">
      <c r="A207" s="2">
        <v>44199</v>
      </c>
      <c r="B207" s="1">
        <v>26</v>
      </c>
      <c r="C207" s="1" t="s">
        <v>120</v>
      </c>
      <c r="D207" s="1" t="s">
        <v>4</v>
      </c>
      <c r="E207" s="1" t="s">
        <v>57</v>
      </c>
      <c r="F207" s="1" t="s">
        <v>157</v>
      </c>
      <c r="G207" s="3" t="s">
        <v>15</v>
      </c>
      <c r="H207" s="4">
        <v>11</v>
      </c>
      <c r="I207" s="4">
        <v>29</v>
      </c>
      <c r="L207" t="s">
        <v>154</v>
      </c>
      <c r="M207" t="str">
        <f>CONCATENATE("(","'",TEXT(A207,"dd.m.rrrrr"),"'",L207,"'",B207,"'",L207,"'",C207,"'",L207,"'",D207,"'",L207,"'",E207,"'",L207,"'",F207,"'",L207,"'",G207,"'",L207,"'",H207,"'",L207,"'",I207,"'",")")</f>
        <v>('03.1.2021', '26', '32 th round', 'OLO', 'Sunday', 'Home', '2:1pp', '11', '29')</v>
      </c>
      <c r="W207" t="str">
        <f t="shared" si="3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</v>
      </c>
    </row>
    <row r="208" spans="1:23" x14ac:dyDescent="0.25">
      <c r="A208" s="2">
        <v>44201</v>
      </c>
      <c r="B208" s="1">
        <v>27</v>
      </c>
      <c r="C208" s="1" t="s">
        <v>93</v>
      </c>
      <c r="D208" s="1" t="s">
        <v>27</v>
      </c>
      <c r="E208" s="1" t="s">
        <v>59</v>
      </c>
      <c r="F208" s="1" t="s">
        <v>155</v>
      </c>
      <c r="G208" s="11" t="s">
        <v>203</v>
      </c>
      <c r="H208" s="1">
        <v>10</v>
      </c>
      <c r="I208" s="1">
        <v>32</v>
      </c>
      <c r="L208" t="s">
        <v>154</v>
      </c>
      <c r="M208" t="str">
        <f>CONCATENATE("(","'",TEXT(A208,"dd.m.rrrrr"),"'",L208,"'",B208,"'",L208,"'",C208,"'",L208,"'",D208,"'",L208,"'",E208,"'",L208,"'",F208,"'",L208,"'",G208,"'",L208,"'",H208,"'",L208,"'",I208,"'",")")</f>
        <v>('05.1.2021', '27', '5 th round', 'KVA', 'Tuesday', 'Away', '6:4', '10', '32')</v>
      </c>
      <c r="W208" t="str">
        <f t="shared" si="3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</v>
      </c>
    </row>
    <row r="209" spans="1:23" x14ac:dyDescent="0.25">
      <c r="A209" s="2">
        <v>44204</v>
      </c>
      <c r="B209" s="1">
        <v>28</v>
      </c>
      <c r="C209" s="1" t="s">
        <v>121</v>
      </c>
      <c r="D209" s="1" t="s">
        <v>63</v>
      </c>
      <c r="E209" s="1" t="s">
        <v>55</v>
      </c>
      <c r="F209" s="1" t="s">
        <v>155</v>
      </c>
      <c r="G209" s="11" t="s">
        <v>168</v>
      </c>
      <c r="H209" s="1">
        <v>10</v>
      </c>
      <c r="I209" s="1">
        <v>32</v>
      </c>
      <c r="L209" t="s">
        <v>154</v>
      </c>
      <c r="M209" t="str">
        <f>CONCATENATE("(","'",TEXT(A209,"dd.m.rrrrr"),"'",L209,"'",B209,"'",L209,"'",C209,"'",L209,"'",D209,"'",L209,"'",E209,"'",L209,"'",F209,"'",L209,"'",G209,"'",L209,"'",H209,"'",L209,"'",I209,"'",")")</f>
        <v>('08.1.2021', '28', '33 th round', ' HRK', 'Friday', 'Away', '1:3', '10', '32')</v>
      </c>
      <c r="W209" t="str">
        <f t="shared" si="3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</v>
      </c>
    </row>
    <row r="210" spans="1:23" x14ac:dyDescent="0.25">
      <c r="A210" s="2">
        <v>44206</v>
      </c>
      <c r="B210" s="1">
        <v>29</v>
      </c>
      <c r="C210" s="1" t="s">
        <v>122</v>
      </c>
      <c r="D210" s="1" t="s">
        <v>9</v>
      </c>
      <c r="E210" s="1" t="s">
        <v>57</v>
      </c>
      <c r="F210" s="1" t="s">
        <v>157</v>
      </c>
      <c r="G210" s="11" t="s">
        <v>194</v>
      </c>
      <c r="H210" s="1">
        <v>10</v>
      </c>
      <c r="I210" s="1">
        <v>35</v>
      </c>
      <c r="L210" t="s">
        <v>154</v>
      </c>
      <c r="M210" t="str">
        <f>CONCATENATE("(","'",TEXT(A210,"dd.m.rrrrr"),"'",L210,"'",B210,"'",L210,"'",C210,"'",L210,"'",D210,"'",L210,"'",E210,"'",L210,"'",F210,"'",L210,"'",G210,"'",L210,"'",H210,"'",L210,"'",I210,"'",")")</f>
        <v>('10.1.2021', '29', '34 th round', 'PAR', 'Sunday', 'Home', '5:0', '10', '35')</v>
      </c>
      <c r="W210" t="str">
        <f t="shared" si="3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</v>
      </c>
    </row>
    <row r="211" spans="1:23" x14ac:dyDescent="0.25">
      <c r="A211" s="2">
        <v>44208</v>
      </c>
      <c r="B211" s="1">
        <v>30</v>
      </c>
      <c r="C211" s="1" t="s">
        <v>100</v>
      </c>
      <c r="D211" s="1" t="s">
        <v>36</v>
      </c>
      <c r="E211" s="1" t="s">
        <v>59</v>
      </c>
      <c r="F211" s="1" t="s">
        <v>155</v>
      </c>
      <c r="G211" s="11" t="s">
        <v>181</v>
      </c>
      <c r="H211" s="1">
        <v>10</v>
      </c>
      <c r="I211" s="1">
        <v>35</v>
      </c>
      <c r="L211" t="s">
        <v>154</v>
      </c>
      <c r="M211" t="str">
        <f>CONCATENATE("(","'",TEXT(A211,"dd.m.rrrrr"),"'",L211,"'",B211,"'",L211,"'",C211,"'",L211,"'",D211,"'",L211,"'",E211,"'",L211,"'",F211,"'",L211,"'",G211,"'",L211,"'",H211,"'",L211,"'",I211,"'",")")</f>
        <v>('12.1.2021', '30', '12 th round', 'BUD', 'Tuesday', 'Away', '3:4', '10', '35')</v>
      </c>
      <c r="W211" t="str">
        <f t="shared" si="3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</v>
      </c>
    </row>
    <row r="212" spans="1:23" x14ac:dyDescent="0.25">
      <c r="A212" s="2">
        <v>44211</v>
      </c>
      <c r="B212" s="1">
        <v>31</v>
      </c>
      <c r="C212" s="1" t="s">
        <v>123</v>
      </c>
      <c r="D212" s="1" t="s">
        <v>3</v>
      </c>
      <c r="E212" s="1" t="s">
        <v>55</v>
      </c>
      <c r="F212" s="1" t="s">
        <v>157</v>
      </c>
      <c r="G212" s="11" t="s">
        <v>182</v>
      </c>
      <c r="H212" s="1">
        <v>12</v>
      </c>
      <c r="I212" s="1">
        <v>35</v>
      </c>
      <c r="L212" t="s">
        <v>154</v>
      </c>
      <c r="M212" t="str">
        <f>CONCATENATE("(","'",TEXT(A212,"dd.m.rrrrr"),"'",L212,"'",B212,"'",L212,"'",C212,"'",L212,"'",D212,"'",L212,"'",E212,"'",L212,"'",F212,"'",L212,"'",G212,"'",L212,"'",H212,"'",L212,"'",I212,"'",")")</f>
        <v>('15.1.2021', '31', '35 th round', 'SPA', 'Friday', 'Home', '3:5', '12', '35')</v>
      </c>
      <c r="W212" t="str">
        <f t="shared" si="3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</v>
      </c>
    </row>
    <row r="213" spans="1:23" x14ac:dyDescent="0.25">
      <c r="A213" s="2">
        <v>44213</v>
      </c>
      <c r="B213" s="1">
        <v>32</v>
      </c>
      <c r="C213" s="1" t="s">
        <v>124</v>
      </c>
      <c r="D213" s="1" t="s">
        <v>7</v>
      </c>
      <c r="E213" s="1" t="s">
        <v>57</v>
      </c>
      <c r="F213" s="1" t="s">
        <v>155</v>
      </c>
      <c r="G213" s="11" t="s">
        <v>180</v>
      </c>
      <c r="H213" s="1">
        <v>11</v>
      </c>
      <c r="I213" s="1">
        <v>38</v>
      </c>
      <c r="L213" t="s">
        <v>154</v>
      </c>
      <c r="M213" t="str">
        <f>CONCATENATE("(","'",TEXT(A213,"dd.m.rrrrr"),"'",L213,"'",B213,"'",L213,"'",C213,"'",L213,"'",D213,"'",L213,"'",E213,"'",L213,"'",F213,"'",L213,"'",G213,"'",L213,"'",H213,"'",L213,"'",I213,"'",")")</f>
        <v>('17.1.2021', '32', '36 th round', 'MBO', 'Sunday', 'Away', '3:2', '11', '38')</v>
      </c>
      <c r="W213" t="str">
        <f t="shared" si="3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</v>
      </c>
    </row>
    <row r="214" spans="1:23" x14ac:dyDescent="0.25">
      <c r="A214" s="2">
        <v>44216</v>
      </c>
      <c r="B214" s="1">
        <v>33</v>
      </c>
      <c r="C214" s="1" t="s">
        <v>125</v>
      </c>
      <c r="D214" s="1" t="s">
        <v>6</v>
      </c>
      <c r="E214" s="1" t="s">
        <v>60</v>
      </c>
      <c r="F214" s="7" t="s">
        <v>157</v>
      </c>
      <c r="G214" s="11" t="s">
        <v>167</v>
      </c>
      <c r="H214" s="1">
        <v>12</v>
      </c>
      <c r="I214" s="1">
        <v>38</v>
      </c>
      <c r="L214" t="s">
        <v>154</v>
      </c>
      <c r="M214" t="str">
        <f>CONCATENATE("(","'",TEXT(A214,"dd.m.rrrrr"),"'",L214,"'",B214,"'",L214,"'",C214,"'",L214,"'",D214,"'",L214,"'",E214,"'",L214,"'",F214,"'",L214,"'",G214,"'",L214,"'",H214,"'",L214,"'",I214,"'",")")</f>
        <v>('20.1.2021', '33', '37 th round', 'TRI', 'Wednesday', 'Home', '1:2', '12', '38')</v>
      </c>
      <c r="W214" t="str">
        <f t="shared" si="3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</v>
      </c>
    </row>
    <row r="215" spans="1:23" x14ac:dyDescent="0.25">
      <c r="A215" s="2">
        <v>44218</v>
      </c>
      <c r="B215" s="1">
        <v>34</v>
      </c>
      <c r="C215" s="1" t="s">
        <v>126</v>
      </c>
      <c r="D215" s="1" t="s">
        <v>36</v>
      </c>
      <c r="E215" s="1" t="s">
        <v>55</v>
      </c>
      <c r="F215" s="1" t="s">
        <v>155</v>
      </c>
      <c r="G215" s="11" t="s">
        <v>189</v>
      </c>
      <c r="H215" s="1">
        <v>11</v>
      </c>
      <c r="I215" s="1">
        <v>41</v>
      </c>
      <c r="L215" t="s">
        <v>154</v>
      </c>
      <c r="M215" t="str">
        <f>CONCATENATE("(","'",TEXT(A215,"dd.m.rrrrr"),"'",L215,"'",B215,"'",L215,"'",C215,"'",L215,"'",D215,"'",L215,"'",E215,"'",L215,"'",F215,"'",L215,"'",G215,"'",L215,"'",H215,"'",L215,"'",I215,"'",")")</f>
        <v>('22.1.2021', '34', '38 th round', 'BUD', 'Friday', 'Away', '4:3', '11', '41')</v>
      </c>
      <c r="W215" t="str">
        <f t="shared" si="3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</v>
      </c>
    </row>
    <row r="216" spans="1:23" x14ac:dyDescent="0.25">
      <c r="A216" s="2">
        <v>44220</v>
      </c>
      <c r="B216" s="1">
        <v>35</v>
      </c>
      <c r="C216" s="1" t="s">
        <v>127</v>
      </c>
      <c r="D216" s="1" t="s">
        <v>5</v>
      </c>
      <c r="E216" s="1" t="s">
        <v>57</v>
      </c>
      <c r="F216" s="1" t="s">
        <v>157</v>
      </c>
      <c r="G216" s="11" t="s">
        <v>180</v>
      </c>
      <c r="H216" s="1">
        <v>10</v>
      </c>
      <c r="I216" s="1">
        <v>44</v>
      </c>
      <c r="L216" t="s">
        <v>154</v>
      </c>
      <c r="M216" t="str">
        <f>CONCATENATE("(","'",TEXT(A216,"dd.m.rrrrr"),"'",L216,"'",B216,"'",L216,"'",C216,"'",L216,"'",D216,"'",L216,"'",E216,"'",L216,"'",F216,"'",L216,"'",G216,"'",L216,"'",H216,"'",L216,"'",I216,"'",")")</f>
        <v>('24.1.2021', '35', '39 th round', 'ZLN', 'Sunday', 'Home', '3:2', '10', '44')</v>
      </c>
      <c r="W216" t="str">
        <f t="shared" si="3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</v>
      </c>
    </row>
    <row r="217" spans="1:23" x14ac:dyDescent="0.25">
      <c r="A217" s="2">
        <v>44222</v>
      </c>
      <c r="B217" s="1">
        <v>36</v>
      </c>
      <c r="C217" s="1" t="s">
        <v>64</v>
      </c>
      <c r="D217" s="1" t="s">
        <v>10</v>
      </c>
      <c r="E217" s="1" t="s">
        <v>59</v>
      </c>
      <c r="F217" s="1" t="s">
        <v>157</v>
      </c>
      <c r="G217" s="11" t="s">
        <v>180</v>
      </c>
      <c r="H217" s="1">
        <v>10</v>
      </c>
      <c r="I217" s="1">
        <v>47</v>
      </c>
      <c r="L217" t="s">
        <v>154</v>
      </c>
      <c r="M217" t="str">
        <f>CONCATENATE("(","'",TEXT(A217,"dd.m.rrrrr"),"'",L217,"'",B217,"'",L217,"'",C217,"'",L217,"'",D217,"'",L217,"'",E217,"'",L217,"'",F217,"'",L217,"'",G217,"'",L217,"'",H217,"'",L217,"'",I217,"'",")")</f>
        <v>('26.1.2021', '36', '1st round', 'VIT', 'Tuesday', 'Home', '3:2', '10', '47')</v>
      </c>
      <c r="W217" t="str">
        <f t="shared" si="3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</v>
      </c>
    </row>
    <row r="218" spans="1:23" x14ac:dyDescent="0.25">
      <c r="A218" s="2">
        <v>44225</v>
      </c>
      <c r="B218" s="1">
        <v>37</v>
      </c>
      <c r="C218" s="1" t="s">
        <v>128</v>
      </c>
      <c r="D218" s="1" t="s">
        <v>10</v>
      </c>
      <c r="E218" s="1" t="s">
        <v>55</v>
      </c>
      <c r="F218" s="1" t="s">
        <v>155</v>
      </c>
      <c r="G218" s="11" t="s">
        <v>174</v>
      </c>
      <c r="H218" s="1">
        <v>10</v>
      </c>
      <c r="I218" s="1">
        <v>47</v>
      </c>
      <c r="L218" t="s">
        <v>154</v>
      </c>
      <c r="M218" t="str">
        <f>CONCATENATE("(","'",TEXT(A218,"dd.m.rrrrr"),"'",L218,"'",B218,"'",L218,"'",C218,"'",L218,"'",D218,"'",L218,"'",E218,"'",L218,"'",F218,"'",L218,"'",G218,"'",L218,"'",H218,"'",L218,"'",I218,"'",")")</f>
        <v>('29.1.2021', '37', '40 th round', 'VIT', 'Friday', 'Away', '2:3', '10', '47')</v>
      </c>
      <c r="W218" t="str">
        <f t="shared" si="3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</v>
      </c>
    </row>
    <row r="219" spans="1:23" x14ac:dyDescent="0.25">
      <c r="A219" s="2">
        <v>44226</v>
      </c>
      <c r="B219" s="1">
        <v>38</v>
      </c>
      <c r="C219" s="1" t="s">
        <v>129</v>
      </c>
      <c r="D219" s="1" t="s">
        <v>11</v>
      </c>
      <c r="E219" s="1" t="s">
        <v>56</v>
      </c>
      <c r="F219" s="1" t="s">
        <v>155</v>
      </c>
      <c r="G219" s="11" t="s">
        <v>189</v>
      </c>
      <c r="H219" s="1">
        <v>9</v>
      </c>
      <c r="I219" s="1">
        <v>50</v>
      </c>
      <c r="L219" t="s">
        <v>154</v>
      </c>
      <c r="M219" t="str">
        <f>CONCATENATE("(","'",TEXT(A219,"dd.m.rrrrr"),"'",L219,"'",B219,"'",L219,"'",C219,"'",L219,"'",D219,"'",L219,"'",E219,"'",L219,"'",F219,"'",L219,"'",G219,"'",L219,"'",H219,"'",L219,"'",I219,"'",")")</f>
        <v>('30.1.2021', '38', '41 th round', 'BRN', 'Saturday', 'Away', '4:3', '9', '50')</v>
      </c>
      <c r="W219" t="str">
        <f t="shared" si="3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</v>
      </c>
    </row>
    <row r="220" spans="1:23" x14ac:dyDescent="0.25">
      <c r="A220" s="2">
        <v>44229</v>
      </c>
      <c r="B220" s="1">
        <v>39</v>
      </c>
      <c r="C220" s="1" t="s">
        <v>130</v>
      </c>
      <c r="D220" s="1" t="s">
        <v>1</v>
      </c>
      <c r="E220" s="1" t="s">
        <v>59</v>
      </c>
      <c r="F220" s="1" t="s">
        <v>157</v>
      </c>
      <c r="G220" s="11" t="s">
        <v>170</v>
      </c>
      <c r="H220" s="4">
        <v>10</v>
      </c>
      <c r="I220" s="4">
        <v>50</v>
      </c>
      <c r="L220" t="s">
        <v>154</v>
      </c>
      <c r="M220" t="str">
        <f>CONCATENATE("(","'",TEXT(A220,"dd.m.rrrrr"),"'",L220,"'",B220,"'",L220,"'",C220,"'",L220,"'",D220,"'",L220,"'",E220,"'",L220,"'",F220,"'",L220,"'",G220,"'",L220,"'",H220,"'",L220,"'",I220,"'",")")</f>
        <v>('02.2.2021', '39', '42 th round', 'LIB', 'Tuesday', 'Home', '1:6', '10', '50')</v>
      </c>
      <c r="W220" t="str">
        <f t="shared" si="3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</v>
      </c>
    </row>
    <row r="221" spans="1:23" x14ac:dyDescent="0.25">
      <c r="A221" s="2">
        <v>44232</v>
      </c>
      <c r="B221" s="1">
        <v>40</v>
      </c>
      <c r="C221" s="1" t="s">
        <v>131</v>
      </c>
      <c r="D221" s="1" t="s">
        <v>0</v>
      </c>
      <c r="E221" s="1" t="s">
        <v>55</v>
      </c>
      <c r="F221" s="1" t="s">
        <v>155</v>
      </c>
      <c r="G221" s="11" t="s">
        <v>190</v>
      </c>
      <c r="H221" s="1">
        <v>10</v>
      </c>
      <c r="I221" s="1">
        <v>50</v>
      </c>
      <c r="L221" t="s">
        <v>154</v>
      </c>
      <c r="M221" t="str">
        <f>CONCATENATE("(","'",TEXT(A221,"dd.m.rrrrr"),"'",L221,"'",B221,"'",L221,"'",C221,"'",L221,"'",D221,"'",L221,"'",E221,"'",L221,"'",F221,"'",L221,"'",G221,"'",L221,"'",H221,"'",L221,"'",I221,"'",")")</f>
        <v>('05.2.2021', '40', '43 th round', 'PLZ', 'Friday', 'Away', '4:5', '10', '50')</v>
      </c>
      <c r="W221" t="str">
        <f t="shared" si="3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</v>
      </c>
    </row>
    <row r="222" spans="1:23" x14ac:dyDescent="0.25">
      <c r="A222" s="2">
        <v>44234</v>
      </c>
      <c r="B222" s="1">
        <v>41</v>
      </c>
      <c r="C222" s="1" t="s">
        <v>132</v>
      </c>
      <c r="D222" s="1" t="s">
        <v>27</v>
      </c>
      <c r="E222" s="1" t="s">
        <v>57</v>
      </c>
      <c r="F222" s="1" t="s">
        <v>157</v>
      </c>
      <c r="G222" s="3" t="s">
        <v>31</v>
      </c>
      <c r="H222" s="1">
        <v>10</v>
      </c>
      <c r="I222" s="1">
        <v>52</v>
      </c>
      <c r="L222" t="s">
        <v>154</v>
      </c>
      <c r="M222" t="str">
        <f>CONCATENATE("(","'",TEXT(A222,"dd.m.rrrrr"),"'",L222,"'",B222,"'",L222,"'",C222,"'",L222,"'",D222,"'",L222,"'",E222,"'",L222,"'",F222,"'",L222,"'",G222,"'",L222,"'",H222,"'",L222,"'",I222,"'",")")</f>
        <v>('07.2.2021', '41', '44 th round', 'KVA', 'Sunday', 'Home', '3:2pp', '10', '52')</v>
      </c>
      <c r="W222" t="str">
        <f t="shared" si="3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</v>
      </c>
    </row>
    <row r="223" spans="1:23" x14ac:dyDescent="0.25">
      <c r="A223" s="2">
        <v>44236</v>
      </c>
      <c r="B223" s="1">
        <v>42</v>
      </c>
      <c r="C223" s="1" t="s">
        <v>98</v>
      </c>
      <c r="D223" s="1" t="s">
        <v>7</v>
      </c>
      <c r="E223" s="1" t="s">
        <v>59</v>
      </c>
      <c r="F223" s="1" t="s">
        <v>155</v>
      </c>
      <c r="G223" s="3" t="s">
        <v>16</v>
      </c>
      <c r="H223" s="1">
        <v>10</v>
      </c>
      <c r="I223" s="1">
        <v>53</v>
      </c>
      <c r="L223" t="s">
        <v>154</v>
      </c>
      <c r="M223" t="str">
        <f>CONCATENATE("(","'",TEXT(A223,"dd.m.rrrrr"),"'",L223,"'",B223,"'",L223,"'",C223,"'",L223,"'",D223,"'",L223,"'",E223,"'",L223,"'",F223,"'",L223,"'",G223,"'",L223,"'",H223,"'",L223,"'",I223,"'",")")</f>
        <v>('09.2.2021', '42', '10 th round', 'MBO', 'Tuesday', 'Away', '2:3sn', '10', '53')</v>
      </c>
      <c r="W223" t="str">
        <f t="shared" si="3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</v>
      </c>
    </row>
    <row r="224" spans="1:23" x14ac:dyDescent="0.25">
      <c r="A224" s="2">
        <v>44242</v>
      </c>
      <c r="B224" s="1">
        <v>43</v>
      </c>
      <c r="C224" s="1" t="s">
        <v>104</v>
      </c>
      <c r="D224" s="1" t="s">
        <v>1</v>
      </c>
      <c r="E224" s="1" t="s">
        <v>58</v>
      </c>
      <c r="F224" s="1" t="s">
        <v>157</v>
      </c>
      <c r="G224" s="3" t="s">
        <v>37</v>
      </c>
      <c r="H224" s="1">
        <v>10</v>
      </c>
      <c r="I224" s="1">
        <v>54</v>
      </c>
      <c r="L224" t="s">
        <v>154</v>
      </c>
      <c r="M224" t="str">
        <f>CONCATENATE("(","'",TEXT(A224,"dd.m.rrrrr"),"'",L224,"'",B224,"'",L224,"'",C224,"'",L224,"'",D224,"'",L224,"'",E224,"'",L224,"'",F224,"'",L224,"'",G224,"'",L224,"'",H224,"'",L224,"'",I224,"'",")")</f>
        <v>('15.2.2021', '43', '16 th round', 'LIB', 'Monday', 'Home', '1:2pp', '10', '54')</v>
      </c>
      <c r="W224" t="str">
        <f t="shared" si="3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</v>
      </c>
    </row>
    <row r="225" spans="1:23" x14ac:dyDescent="0.25">
      <c r="A225" s="2">
        <v>44244</v>
      </c>
      <c r="B225" s="1">
        <v>44</v>
      </c>
      <c r="C225" s="1" t="s">
        <v>133</v>
      </c>
      <c r="D225" s="1" t="s">
        <v>4</v>
      </c>
      <c r="E225" s="1" t="s">
        <v>60</v>
      </c>
      <c r="F225" s="1" t="s">
        <v>155</v>
      </c>
      <c r="G225" s="11" t="s">
        <v>181</v>
      </c>
      <c r="H225" s="1">
        <v>11</v>
      </c>
      <c r="I225" s="1">
        <v>54</v>
      </c>
      <c r="L225" t="s">
        <v>154</v>
      </c>
      <c r="M225" t="str">
        <f>CONCATENATE("(","'",TEXT(A225,"dd.m.rrrrr"),"'",L225,"'",B225,"'",L225,"'",C225,"'",L225,"'",D225,"'",L225,"'",E225,"'",L225,"'",F225,"'",L225,"'",G225,"'",L225,"'",H225,"'",L225,"'",I225,"'",")")</f>
        <v>('17.2.2021', '44', '45 th round', 'OLO', 'Wednesday', 'Away', '3:4', '11', '54')</v>
      </c>
      <c r="W225" t="str">
        <f t="shared" si="3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</v>
      </c>
    </row>
    <row r="226" spans="1:23" x14ac:dyDescent="0.25">
      <c r="A226" s="2">
        <v>44246</v>
      </c>
      <c r="B226" s="1">
        <v>45</v>
      </c>
      <c r="C226" s="1" t="s">
        <v>134</v>
      </c>
      <c r="D226" s="1" t="s">
        <v>2</v>
      </c>
      <c r="E226" s="1" t="s">
        <v>55</v>
      </c>
      <c r="F226" s="1" t="s">
        <v>157</v>
      </c>
      <c r="G226" s="11" t="s">
        <v>174</v>
      </c>
      <c r="H226" s="1">
        <v>11</v>
      </c>
      <c r="I226" s="1">
        <v>54</v>
      </c>
      <c r="L226" t="s">
        <v>154</v>
      </c>
      <c r="M226" t="str">
        <f>CONCATENATE("(","'",TEXT(A226,"dd.m.rrrrr"),"'",L226,"'",B226,"'",L226,"'",C226,"'",L226,"'",D226,"'",L226,"'",E226,"'",L226,"'",F226,"'",L226,"'",G226,"'",L226,"'",H226,"'",L226,"'",I226,"'",")")</f>
        <v>('19.2.2021', '45', '46 th round', 'HRK', 'Friday', 'Home', '2:3', '11', '54')</v>
      </c>
      <c r="W226" t="str">
        <f t="shared" si="3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</v>
      </c>
    </row>
    <row r="227" spans="1:23" x14ac:dyDescent="0.25">
      <c r="A227" s="2">
        <v>44248</v>
      </c>
      <c r="B227" s="1">
        <v>46</v>
      </c>
      <c r="C227" s="1" t="s">
        <v>135</v>
      </c>
      <c r="D227" s="1" t="s">
        <v>9</v>
      </c>
      <c r="E227" s="1" t="s">
        <v>57</v>
      </c>
      <c r="F227" s="1" t="s">
        <v>155</v>
      </c>
      <c r="G227" s="11" t="s">
        <v>179</v>
      </c>
      <c r="H227" s="1">
        <v>11</v>
      </c>
      <c r="I227" s="1">
        <v>57</v>
      </c>
      <c r="L227" t="s">
        <v>154</v>
      </c>
      <c r="M227" t="str">
        <f>CONCATENATE("(","'",TEXT(A227,"dd.m.rrrrr"),"'",L227,"'",B227,"'",L227,"'",C227,"'",L227,"'",D227,"'",L227,"'",E227,"'",L227,"'",F227,"'",L227,"'",G227,"'",L227,"'",H227,"'",L227,"'",I227,"'",")")</f>
        <v>('21.2.2021', '46', '47 th round', 'PAR', 'Sunday', 'Away', '3:1', '11', '57')</v>
      </c>
      <c r="W227" t="str">
        <f t="shared" si="3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</v>
      </c>
    </row>
    <row r="228" spans="1:23" x14ac:dyDescent="0.25">
      <c r="A228" s="2">
        <v>44250</v>
      </c>
      <c r="B228" s="1">
        <v>47</v>
      </c>
      <c r="C228" s="1" t="s">
        <v>107</v>
      </c>
      <c r="D228" s="1" t="s">
        <v>4</v>
      </c>
      <c r="E228" s="1" t="s">
        <v>59</v>
      </c>
      <c r="F228" s="1" t="s">
        <v>155</v>
      </c>
      <c r="G228" s="11" t="s">
        <v>173</v>
      </c>
      <c r="H228" s="1">
        <v>11</v>
      </c>
      <c r="I228" s="1">
        <v>60</v>
      </c>
      <c r="L228" t="s">
        <v>154</v>
      </c>
      <c r="M228" t="str">
        <f>CONCATENATE("(","'",TEXT(A228,"dd.m.rrrrr"),"'",L228,"'",B228,"'",L228,"'",C228,"'",L228,"'",D228,"'",L228,"'",E228,"'",L228,"'",F228,"'",L228,"'",G228,"'",L228,"'",H228,"'",L228,"'",I228,"'",")")</f>
        <v>('23.2.2021', '47', '19 th round', 'OLO', 'Tuesday', 'Away', '2:1', '11', '60')</v>
      </c>
      <c r="W228" t="str">
        <f t="shared" si="3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</v>
      </c>
    </row>
    <row r="229" spans="1:23" x14ac:dyDescent="0.25">
      <c r="A229" s="2">
        <v>44253</v>
      </c>
      <c r="B229" s="1">
        <v>48</v>
      </c>
      <c r="C229" s="1" t="s">
        <v>136</v>
      </c>
      <c r="D229" s="1" t="s">
        <v>3</v>
      </c>
      <c r="E229" s="1" t="s">
        <v>55</v>
      </c>
      <c r="F229" s="1" t="s">
        <v>155</v>
      </c>
      <c r="G229" s="11" t="s">
        <v>188</v>
      </c>
      <c r="H229" s="1">
        <v>11</v>
      </c>
      <c r="I229" s="1">
        <v>63</v>
      </c>
      <c r="L229" t="s">
        <v>154</v>
      </c>
      <c r="M229" t="str">
        <f>CONCATENATE("(","'",TEXT(A229,"dd.m.rrrrr"),"'",L229,"'",B229,"'",L229,"'",C229,"'",L229,"'",D229,"'",L229,"'",E229,"'",L229,"'",F229,"'",L229,"'",G229,"'",L229,"'",H229,"'",L229,"'",I229,"'",")")</f>
        <v>('26.2.2021', '48', '48 th round', 'SPA', 'Friday', 'Away', '4:2', '11', '63')</v>
      </c>
      <c r="W229" t="str">
        <f t="shared" si="3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</v>
      </c>
    </row>
    <row r="230" spans="1:23" x14ac:dyDescent="0.25">
      <c r="A230" s="2">
        <v>44255</v>
      </c>
      <c r="B230" s="1">
        <v>49</v>
      </c>
      <c r="C230" s="1" t="s">
        <v>137</v>
      </c>
      <c r="D230" s="1" t="s">
        <v>7</v>
      </c>
      <c r="E230" s="1" t="s">
        <v>57</v>
      </c>
      <c r="F230" s="1" t="s">
        <v>157</v>
      </c>
      <c r="G230" s="11" t="s">
        <v>202</v>
      </c>
      <c r="H230" s="1">
        <v>11</v>
      </c>
      <c r="I230" s="1">
        <v>66</v>
      </c>
      <c r="L230" t="s">
        <v>154</v>
      </c>
      <c r="M230" t="str">
        <f>CONCATENATE("(","'",TEXT(A230,"dd.m.rrrrr"),"'",L230,"'",B230,"'",L230,"'",C230,"'",L230,"'",D230,"'",L230,"'",E230,"'",L230,"'",F230,"'",L230,"'",G230,"'",L230,"'",H230,"'",L230,"'",I230,"'",")")</f>
        <v>('28.2.2021', '49', '49 th round', 'MBO', 'Sunday', 'Home', '6:3', '11', '66')</v>
      </c>
      <c r="W230" t="str">
        <f t="shared" si="3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</v>
      </c>
    </row>
    <row r="231" spans="1:23" x14ac:dyDescent="0.25">
      <c r="A231" s="2">
        <v>44259</v>
      </c>
      <c r="B231" s="1">
        <v>50</v>
      </c>
      <c r="C231" s="1" t="s">
        <v>138</v>
      </c>
      <c r="D231" s="1" t="s">
        <v>6</v>
      </c>
      <c r="E231" s="1" t="s">
        <v>61</v>
      </c>
      <c r="F231" s="1" t="s">
        <v>159</v>
      </c>
      <c r="G231" s="11" t="s">
        <v>180</v>
      </c>
      <c r="H231" s="1">
        <v>11</v>
      </c>
      <c r="I231" s="1">
        <v>69</v>
      </c>
      <c r="L231" t="s">
        <v>154</v>
      </c>
      <c r="M231" t="str">
        <f>CONCATENATE("(","'",TEXT(A231,"dd.m.rrrrr"),"'",L231,"'",B231,"'",L231,"'",C231,"'",L231,"'",D231,"'",L231,"'",E231,"'",L231,"'",F231,"'",L231,"'",G231,"'",L231,"'",H231,"'",L231,"'",I231,"'",")")</f>
        <v>('04.3.2021', '50', '50 th round', 'TRI', 'Thursday', 'HomeAway', '3:2', '11', '69')</v>
      </c>
      <c r="W231" t="str">
        <f t="shared" si="3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</v>
      </c>
    </row>
    <row r="232" spans="1:23" x14ac:dyDescent="0.25">
      <c r="A232" s="2">
        <v>44260</v>
      </c>
      <c r="B232" s="1">
        <v>51</v>
      </c>
      <c r="C232" s="1" t="s">
        <v>139</v>
      </c>
      <c r="D232" s="1" t="s">
        <v>36</v>
      </c>
      <c r="E232" s="1" t="s">
        <v>55</v>
      </c>
      <c r="F232" s="1" t="s">
        <v>157</v>
      </c>
      <c r="G232" s="11" t="s">
        <v>206</v>
      </c>
      <c r="H232" s="1">
        <v>11</v>
      </c>
      <c r="I232" s="1">
        <v>72</v>
      </c>
      <c r="L232" t="s">
        <v>154</v>
      </c>
      <c r="M232" t="str">
        <f>CONCATENATE("(","'",TEXT(A232,"dd.m.rrrrr"),"'",L232,"'",B232,"'",L232,"'",C232,"'",L232,"'",D232,"'",L232,"'",E232,"'",L232,"'",F232,"'",L232,"'",G232,"'",L232,"'",H232,"'",L232,"'",I232,"'",")")</f>
        <v>('05.3.2021', '51', '51 th round', 'BUD', 'Friday', 'Home', '7:3', '11', '72')</v>
      </c>
      <c r="W232" t="str">
        <f t="shared" si="3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</v>
      </c>
    </row>
    <row r="233" spans="1:23" x14ac:dyDescent="0.25">
      <c r="A233" s="2">
        <v>44262</v>
      </c>
      <c r="B233" s="1">
        <v>52</v>
      </c>
      <c r="C233" s="1" t="s">
        <v>140</v>
      </c>
      <c r="D233" s="1" t="s">
        <v>48</v>
      </c>
      <c r="E233" s="1" t="s">
        <v>57</v>
      </c>
      <c r="F233" s="1" t="s">
        <v>155</v>
      </c>
      <c r="G233" s="11" t="s">
        <v>163</v>
      </c>
      <c r="H233" s="1">
        <v>11</v>
      </c>
      <c r="I233" s="1">
        <v>72</v>
      </c>
      <c r="L233" t="s">
        <v>154</v>
      </c>
      <c r="M233" t="str">
        <f>CONCATENATE("(","'",TEXT(A233,"dd.m.rrrrr"),"'",L233,"'",B233,"'",L233,"'",C233,"'",L233,"'",D233,"'",L233,"'",E233,"'",L233,"'",F233,"'",L233,"'",G233,"'",L233,"'",H233,"'",L233,"'",I233,"'",")")</f>
        <v>('07.3.2021', '52', '52 th round', 'Zín', 'Sunday', 'Away', '0:3', '11', '72')</v>
      </c>
      <c r="W233" t="str">
        <f t="shared" si="3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</v>
      </c>
    </row>
    <row r="234" spans="1:23" x14ac:dyDescent="0.25">
      <c r="A234" s="2">
        <v>44265</v>
      </c>
      <c r="B234" s="1">
        <v>53</v>
      </c>
      <c r="C234" s="1" t="s">
        <v>83</v>
      </c>
      <c r="D234" s="1" t="s">
        <v>2</v>
      </c>
      <c r="E234" s="1" t="s">
        <v>60</v>
      </c>
      <c r="F234" s="1" t="s">
        <v>155</v>
      </c>
      <c r="G234" s="11" t="s">
        <v>162</v>
      </c>
      <c r="L234" t="s">
        <v>154</v>
      </c>
      <c r="M234" t="str">
        <f>CONCATENATE("(","'",TEXT(A234,"dd.m.rrrrr"),"'",L234,"'",B234,"'",L234,"'",C234,"'",L234,"'",D234,"'",L234,"'",E234,"'",L234,"'",F234,"'",L234,"'",G234,"'",L234,"'",H234,"'",L234,"'",I234,"'",")")</f>
        <v>('10.3.2021', '53', 'Playoff 1st round 1 ', 'HRK', 'Wednesday', 'Away', '0:2', '', '')</v>
      </c>
      <c r="W234" t="str">
        <f t="shared" si="3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</v>
      </c>
    </row>
    <row r="235" spans="1:23" x14ac:dyDescent="0.25">
      <c r="A235" s="2">
        <v>44266</v>
      </c>
      <c r="B235" s="1">
        <v>54</v>
      </c>
      <c r="C235" s="1" t="s">
        <v>84</v>
      </c>
      <c r="D235" s="1" t="s">
        <v>2</v>
      </c>
      <c r="E235" s="1" t="s">
        <v>61</v>
      </c>
      <c r="F235" s="1" t="s">
        <v>155</v>
      </c>
      <c r="G235" s="11" t="s">
        <v>168</v>
      </c>
      <c r="L235" t="s">
        <v>154</v>
      </c>
      <c r="M235" t="str">
        <f>CONCATENATE("(","'",TEXT(A235,"dd.m.rrrrr"),"'",L235,"'",B235,"'",L235,"'",C235,"'",L235,"'",D235,"'",L235,"'",E235,"'",L235,"'",F235,"'",L235,"'",G235,"'",L235,"'",H235,"'",L235,"'",I235,"'",")")</f>
        <v>('11.3.2021', '54', 'Playoff 1st round 2', 'HRK', 'Thursday', 'Away', '1:3', '', '')</v>
      </c>
      <c r="W235" t="str">
        <f t="shared" si="3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</v>
      </c>
    </row>
    <row r="236" spans="1:23" x14ac:dyDescent="0.25">
      <c r="A236" s="2">
        <v>44268</v>
      </c>
      <c r="B236" s="1">
        <v>55</v>
      </c>
      <c r="C236" s="1" t="s">
        <v>85</v>
      </c>
      <c r="D236" s="1" t="s">
        <v>2</v>
      </c>
      <c r="E236" s="1" t="s">
        <v>56</v>
      </c>
      <c r="F236" s="1" t="s">
        <v>157</v>
      </c>
      <c r="G236" s="11" t="s">
        <v>160</v>
      </c>
      <c r="L236" t="s">
        <v>154</v>
      </c>
      <c r="M236" t="str">
        <f>CONCATENATE("(","'",TEXT(A236,"dd.m.rrrrr"),"'",L236,"'",B236,"'",L236,"'",C236,"'",L236,"'",D236,"'",L236,"'",E236,"'",L236,"'",F236,"'",L236,"'",G236,"'",L236,"'",H236,"'",L236,"'",I236,"'",")")</f>
        <v>('13.3.2021', '55', 'Playoff 1st round 3', 'HRK', 'Saturday', 'Home', '1:5', '', '')</v>
      </c>
      <c r="W236" t="str">
        <f t="shared" si="3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</v>
      </c>
    </row>
    <row r="237" spans="1:23" x14ac:dyDescent="0.25">
      <c r="A237" s="2">
        <v>44449</v>
      </c>
      <c r="B237" s="1">
        <v>1</v>
      </c>
      <c r="C237" s="1" t="s">
        <v>64</v>
      </c>
      <c r="D237" s="1" t="s">
        <v>5</v>
      </c>
      <c r="E237" s="1" t="s">
        <v>55</v>
      </c>
      <c r="F237" s="1" t="s">
        <v>155</v>
      </c>
      <c r="G237" s="11" t="s">
        <v>188</v>
      </c>
      <c r="H237" s="1">
        <v>3</v>
      </c>
      <c r="I237" s="1">
        <v>3</v>
      </c>
      <c r="L237" t="s">
        <v>154</v>
      </c>
      <c r="M237" t="str">
        <f>CONCATENATE("(","'",TEXT(A237,"dd.m.rrrrr"),"'",L237,"'",B237,"'",L237,"'",C237,"'",L237,"'",D237,"'",L237,"'",E237,"'",L237,"'",F237,"'",L237,"'",G237,"'",L237,"'",H237,"'",L237,"'",I237,"'",")")</f>
        <v>('10.9.2021', '1', '1st round', 'ZLN', 'Friday', 'Away', '4:2', '3', '3')</v>
      </c>
      <c r="W237" t="str">
        <f t="shared" si="3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</v>
      </c>
    </row>
    <row r="238" spans="1:23" x14ac:dyDescent="0.25">
      <c r="A238" s="2">
        <v>44451</v>
      </c>
      <c r="B238" s="1">
        <v>2</v>
      </c>
      <c r="C238" s="1" t="s">
        <v>65</v>
      </c>
      <c r="D238" s="1" t="s">
        <v>1</v>
      </c>
      <c r="E238" s="1" t="s">
        <v>57</v>
      </c>
      <c r="F238" s="1" t="s">
        <v>157</v>
      </c>
      <c r="G238" s="3" t="s">
        <v>32</v>
      </c>
      <c r="H238" s="1">
        <v>3</v>
      </c>
      <c r="I238" s="1">
        <v>5</v>
      </c>
      <c r="L238" t="s">
        <v>154</v>
      </c>
      <c r="M238" t="str">
        <f>CONCATENATE("(","'",TEXT(A238,"dd.m.rrrrr"),"'",L238,"'",B238,"'",L238,"'",C238,"'",L238,"'",D238,"'",L238,"'",E238,"'",L238,"'",F238,"'",L238,"'",G238,"'",L238,"'",H238,"'",L238,"'",I238,"'",")")</f>
        <v>('12.9.2021', '2', '2nd round', 'LIB', 'Sunday', 'Home', '3:2sn', '3', '5')</v>
      </c>
      <c r="W238" t="str">
        <f t="shared" si="3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</v>
      </c>
    </row>
    <row r="239" spans="1:23" x14ac:dyDescent="0.25">
      <c r="A239" s="2">
        <v>44453</v>
      </c>
      <c r="B239" s="1">
        <v>3</v>
      </c>
      <c r="C239" s="1" t="s">
        <v>66</v>
      </c>
      <c r="D239" s="1" t="s">
        <v>6</v>
      </c>
      <c r="E239" s="1" t="s">
        <v>59</v>
      </c>
      <c r="F239" s="1" t="s">
        <v>155</v>
      </c>
      <c r="G239" s="3" t="s">
        <v>18</v>
      </c>
      <c r="H239" s="1">
        <v>3</v>
      </c>
      <c r="I239" s="1">
        <v>6</v>
      </c>
      <c r="L239" t="s">
        <v>154</v>
      </c>
      <c r="M239" t="str">
        <f>CONCATENATE("(","'",TEXT(A239,"dd.m.rrrrr"),"'",L239,"'",B239,"'",L239,"'",C239,"'",L239,"'",D239,"'",L239,"'",E239,"'",L239,"'",F239,"'",L239,"'",G239,"'",L239,"'",H239,"'",L239,"'",I239,"'",")")</f>
        <v>('14.9.2021', '3', '3rd round', 'TRI', 'Tuesday', 'Away', '3:4pp', '3', '6')</v>
      </c>
      <c r="W239" t="str">
        <f t="shared" si="3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</v>
      </c>
    </row>
    <row r="240" spans="1:23" x14ac:dyDescent="0.25">
      <c r="A240" s="2">
        <v>44458</v>
      </c>
      <c r="B240" s="1">
        <v>4</v>
      </c>
      <c r="C240" s="1" t="s">
        <v>93</v>
      </c>
      <c r="D240" s="1" t="s">
        <v>28</v>
      </c>
      <c r="E240" s="1" t="s">
        <v>57</v>
      </c>
      <c r="F240" s="1" t="s">
        <v>155</v>
      </c>
      <c r="G240" s="11" t="s">
        <v>174</v>
      </c>
      <c r="H240" s="1">
        <v>9</v>
      </c>
      <c r="I240" s="1">
        <v>6</v>
      </c>
      <c r="L240" t="s">
        <v>154</v>
      </c>
      <c r="M240" t="str">
        <f>CONCATENATE("(","'",TEXT(A240,"dd.m.rrrrr"),"'",L240,"'",B240,"'",L240,"'",C240,"'",L240,"'",D240,"'",L240,"'",E240,"'",L240,"'",F240,"'",L240,"'",G240,"'",L240,"'",H240,"'",L240,"'",I240,"'",")")</f>
        <v>('19.9.2021', '4', '5 th round', 'KLA', 'Sunday', 'Away', '2:3', '9', '6')</v>
      </c>
      <c r="W240" t="str">
        <f t="shared" si="3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</v>
      </c>
    </row>
    <row r="241" spans="1:23" x14ac:dyDescent="0.25">
      <c r="A241" s="2">
        <v>44460</v>
      </c>
      <c r="B241" s="1">
        <v>5</v>
      </c>
      <c r="C241" s="1" t="s">
        <v>94</v>
      </c>
      <c r="D241" s="1" t="s">
        <v>9</v>
      </c>
      <c r="E241" s="1" t="s">
        <v>59</v>
      </c>
      <c r="F241" s="1" t="s">
        <v>157</v>
      </c>
      <c r="G241" s="11" t="s">
        <v>192</v>
      </c>
      <c r="H241" s="1">
        <v>12</v>
      </c>
      <c r="I241" s="1">
        <v>6</v>
      </c>
      <c r="L241" t="s">
        <v>154</v>
      </c>
      <c r="M241" t="str">
        <f>CONCATENATE("(","'",TEXT(A241,"dd.m.rrrrr"),"'",L241,"'",B241,"'",L241,"'",C241,"'",L241,"'",D241,"'",L241,"'",E241,"'",L241,"'",F241,"'",L241,"'",G241,"'",L241,"'",H241,"'",L241,"'",I241,"'",")")</f>
        <v>('21.9.2021', '5', '6 th round', 'PAR', 'Tuesday', 'Home', '4:7', '12', '6')</v>
      </c>
      <c r="W241" t="str">
        <f t="shared" si="3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</v>
      </c>
    </row>
    <row r="242" spans="1:23" x14ac:dyDescent="0.25">
      <c r="A242" s="2">
        <v>44462</v>
      </c>
      <c r="B242" s="1">
        <v>6</v>
      </c>
      <c r="C242" s="1" t="s">
        <v>95</v>
      </c>
      <c r="D242" s="1" t="s">
        <v>3</v>
      </c>
      <c r="E242" s="1" t="s">
        <v>61</v>
      </c>
      <c r="F242" s="1" t="s">
        <v>155</v>
      </c>
      <c r="G242" s="11" t="s">
        <v>191</v>
      </c>
      <c r="H242" s="1">
        <v>12</v>
      </c>
      <c r="I242" s="1">
        <v>6</v>
      </c>
      <c r="L242" t="s">
        <v>154</v>
      </c>
      <c r="M242" t="str">
        <f>CONCATENATE("(","'",TEXT(A242,"dd.m.rrrrr"),"'",L242,"'",B242,"'",L242,"'",C242,"'",L242,"'",D242,"'",L242,"'",E242,"'",L242,"'",F242,"'",L242,"'",G242,"'",L242,"'",H242,"'",L242,"'",I242,"'",")")</f>
        <v>('23.9.2021', '6', '7 th round', 'SPA', 'Thursday', 'Away', '4:6', '12', '6')</v>
      </c>
      <c r="W242" t="str">
        <f t="shared" si="3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</v>
      </c>
    </row>
    <row r="243" spans="1:23" x14ac:dyDescent="0.25">
      <c r="A243" s="2">
        <v>44465</v>
      </c>
      <c r="B243" s="1">
        <v>7</v>
      </c>
      <c r="C243" s="1" t="s">
        <v>96</v>
      </c>
      <c r="D243" s="1" t="s">
        <v>0</v>
      </c>
      <c r="E243" s="1" t="s">
        <v>57</v>
      </c>
      <c r="F243" s="1" t="s">
        <v>157</v>
      </c>
      <c r="G243" s="11" t="s">
        <v>176</v>
      </c>
      <c r="H243" s="1">
        <v>14</v>
      </c>
      <c r="I243" s="1">
        <v>6</v>
      </c>
      <c r="L243" t="s">
        <v>154</v>
      </c>
      <c r="M243" t="str">
        <f>CONCATENATE("(","'",TEXT(A243,"dd.m.rrrrr"),"'",L243,"'",B243,"'",L243,"'",C243,"'",L243,"'",D243,"'",L243,"'",E243,"'",L243,"'",F243,"'",L243,"'",G243,"'",L243,"'",H243,"'",L243,"'",I243,"'",")")</f>
        <v>('26.9.2021', '7', '8 th round', 'PLZ', 'Sunday', 'Home', '2:5', '14', '6')</v>
      </c>
      <c r="W243" t="str">
        <f t="shared" si="3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</v>
      </c>
    </row>
    <row r="244" spans="1:23" x14ac:dyDescent="0.25">
      <c r="A244" s="2">
        <v>44467</v>
      </c>
      <c r="B244" s="1">
        <v>8</v>
      </c>
      <c r="C244" s="1" t="s">
        <v>97</v>
      </c>
      <c r="D244" s="1" t="s">
        <v>7</v>
      </c>
      <c r="E244" s="1" t="s">
        <v>59</v>
      </c>
      <c r="F244" s="1" t="s">
        <v>155</v>
      </c>
      <c r="G244" s="3" t="s">
        <v>16</v>
      </c>
      <c r="H244" s="1">
        <v>13</v>
      </c>
      <c r="I244" s="1">
        <v>7</v>
      </c>
      <c r="L244" t="s">
        <v>154</v>
      </c>
      <c r="M244" t="str">
        <f>CONCATENATE("(","'",TEXT(A244,"dd.m.rrrrr"),"'",L244,"'",B244,"'",L244,"'",C244,"'",L244,"'",D244,"'",L244,"'",E244,"'",L244,"'",F244,"'",L244,"'",G244,"'",L244,"'",H244,"'",L244,"'",I244,"'",")")</f>
        <v>('28.9.2021', '8', '9 th round', 'MBO', 'Tuesday', 'Away', '2:3sn', '13', '7')</v>
      </c>
      <c r="W244" t="str">
        <f t="shared" si="3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</v>
      </c>
    </row>
    <row r="245" spans="1:23" x14ac:dyDescent="0.25">
      <c r="A245" s="2">
        <v>44470</v>
      </c>
      <c r="B245" s="1">
        <v>9</v>
      </c>
      <c r="C245" s="1" t="s">
        <v>98</v>
      </c>
      <c r="D245" s="1" t="s">
        <v>11</v>
      </c>
      <c r="E245" s="1" t="s">
        <v>55</v>
      </c>
      <c r="F245" s="1" t="s">
        <v>157</v>
      </c>
      <c r="G245" s="11" t="s">
        <v>181</v>
      </c>
      <c r="H245" s="1">
        <v>13</v>
      </c>
      <c r="I245" s="1">
        <v>7</v>
      </c>
      <c r="L245" t="s">
        <v>154</v>
      </c>
      <c r="M245" t="str">
        <f>CONCATENATE("(","'",TEXT(A245,"dd.m.rrrrr"),"'",L245,"'",B245,"'",L245,"'",C245,"'",L245,"'",D245,"'",L245,"'",E245,"'",L245,"'",F245,"'",L245,"'",G245,"'",L245,"'",H245,"'",L245,"'",I245,"'",")")</f>
        <v>('01.10.2021', '9', '10 th round', 'BRN', 'Friday', 'Home', '3:4', '13', '7')</v>
      </c>
      <c r="W245" t="str">
        <f t="shared" si="3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</v>
      </c>
    </row>
    <row r="246" spans="1:23" x14ac:dyDescent="0.25">
      <c r="A246" s="2">
        <v>44472</v>
      </c>
      <c r="B246" s="1">
        <v>10</v>
      </c>
      <c r="C246" s="1" t="s">
        <v>99</v>
      </c>
      <c r="D246" s="1" t="s">
        <v>36</v>
      </c>
      <c r="E246" s="1" t="s">
        <v>57</v>
      </c>
      <c r="F246" s="1" t="s">
        <v>155</v>
      </c>
      <c r="G246" s="11" t="s">
        <v>178</v>
      </c>
      <c r="H246" s="1">
        <v>12</v>
      </c>
      <c r="I246" s="1">
        <v>10</v>
      </c>
      <c r="L246" t="s">
        <v>154</v>
      </c>
      <c r="M246" t="str">
        <f>CONCATENATE("(","'",TEXT(A246,"dd.m.rrrrr"),"'",L246,"'",B246,"'",L246,"'",C246,"'",L246,"'",D246,"'",L246,"'",E246,"'",L246,"'",F246,"'",L246,"'",G246,"'",L246,"'",H246,"'",L246,"'",I246,"'",")")</f>
        <v>('03.10.2021', '10', '11 th round', 'BUD', 'Sunday', 'Away', '3:0', '12', '10')</v>
      </c>
      <c r="W246" t="str">
        <f t="shared" si="3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</v>
      </c>
    </row>
    <row r="247" spans="1:23" x14ac:dyDescent="0.25">
      <c r="A247" s="2">
        <v>44477</v>
      </c>
      <c r="B247" s="1">
        <v>11</v>
      </c>
      <c r="C247" s="1" t="s">
        <v>100</v>
      </c>
      <c r="D247" s="1" t="s">
        <v>10</v>
      </c>
      <c r="E247" s="1" t="s">
        <v>55</v>
      </c>
      <c r="F247" s="1" t="s">
        <v>155</v>
      </c>
      <c r="G247" s="11" t="s">
        <v>187</v>
      </c>
      <c r="H247" s="1">
        <v>12</v>
      </c>
      <c r="I247" s="1">
        <v>13</v>
      </c>
      <c r="L247" t="s">
        <v>154</v>
      </c>
      <c r="M247" t="str">
        <f>CONCATENATE("(","'",TEXT(A247,"dd.m.rrrrr"),"'",L247,"'",B247,"'",L247,"'",C247,"'",L247,"'",D247,"'",L247,"'",E247,"'",L247,"'",F247,"'",L247,"'",G247,"'",L247,"'",H247,"'",L247,"'",I247,"'",")")</f>
        <v>('08.10.2021', '11', '12 th round', 'VIT', 'Friday', 'Away', '4:1', '12', '13')</v>
      </c>
      <c r="W247" t="str">
        <f t="shared" si="3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</v>
      </c>
    </row>
    <row r="248" spans="1:23" x14ac:dyDescent="0.25">
      <c r="A248" s="2">
        <v>44479</v>
      </c>
      <c r="B248" s="1">
        <v>12</v>
      </c>
      <c r="C248" s="1" t="s">
        <v>101</v>
      </c>
      <c r="D248" s="1" t="s">
        <v>2</v>
      </c>
      <c r="E248" s="1" t="s">
        <v>57</v>
      </c>
      <c r="F248" s="1" t="s">
        <v>157</v>
      </c>
      <c r="G248" s="11" t="s">
        <v>181</v>
      </c>
      <c r="H248" s="1">
        <v>12</v>
      </c>
      <c r="I248" s="1">
        <v>13</v>
      </c>
      <c r="L248" t="s">
        <v>154</v>
      </c>
      <c r="M248" t="str">
        <f>CONCATENATE("(","'",TEXT(A248,"dd.m.rrrrr"),"'",L248,"'",B248,"'",L248,"'",C248,"'",L248,"'",D248,"'",L248,"'",E248,"'",L248,"'",F248,"'",L248,"'",G248,"'",L248,"'",H248,"'",L248,"'",I248,"'",")")</f>
        <v>('10.10.2021', '12', '13 th round', 'HRK', 'Sunday', 'Home', '3:4', '12', '13')</v>
      </c>
      <c r="W248" t="str">
        <f t="shared" si="3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</v>
      </c>
    </row>
    <row r="249" spans="1:23" x14ac:dyDescent="0.25">
      <c r="A249" s="2">
        <v>44484</v>
      </c>
      <c r="B249" s="1">
        <v>13</v>
      </c>
      <c r="C249" s="1" t="s">
        <v>102</v>
      </c>
      <c r="D249" s="1" t="s">
        <v>4</v>
      </c>
      <c r="E249" s="1" t="s">
        <v>55</v>
      </c>
      <c r="F249" s="1" t="s">
        <v>155</v>
      </c>
      <c r="G249" s="11" t="s">
        <v>161</v>
      </c>
      <c r="H249" s="1">
        <v>12</v>
      </c>
      <c r="I249" s="1">
        <v>13</v>
      </c>
      <c r="L249" t="s">
        <v>154</v>
      </c>
      <c r="M249" t="str">
        <f>CONCATENATE("(","'",TEXT(A249,"dd.m.rrrrr"),"'",L249,"'",B249,"'",L249,"'",C249,"'",L249,"'",D249,"'",L249,"'",E249,"'",L249,"'",F249,"'",L249,"'",G249,"'",L249,"'",H249,"'",L249,"'",I249,"'",")")</f>
        <v>('15.10.2021', '13', '14 th round', 'OLO', 'Friday', 'Away', '0:1', '12', '13')</v>
      </c>
      <c r="W249" t="str">
        <f t="shared" si="3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</v>
      </c>
    </row>
    <row r="250" spans="1:23" x14ac:dyDescent="0.25">
      <c r="A250" s="2">
        <v>44486</v>
      </c>
      <c r="B250" s="1">
        <v>14</v>
      </c>
      <c r="C250" s="1" t="s">
        <v>103</v>
      </c>
      <c r="D250" s="1" t="s">
        <v>27</v>
      </c>
      <c r="E250" s="1" t="s">
        <v>57</v>
      </c>
      <c r="F250" s="1" t="s">
        <v>157</v>
      </c>
      <c r="G250" s="11" t="s">
        <v>189</v>
      </c>
      <c r="H250" s="4">
        <v>11</v>
      </c>
      <c r="I250" s="4">
        <v>16</v>
      </c>
      <c r="L250" t="s">
        <v>154</v>
      </c>
      <c r="M250" t="str">
        <f>CONCATENATE("(","'",TEXT(A250,"dd.m.rrrrr"),"'",L250,"'",B250,"'",L250,"'",C250,"'",L250,"'",D250,"'",L250,"'",E250,"'",L250,"'",F250,"'",L250,"'",G250,"'",L250,"'",H250,"'",L250,"'",I250,"'",")")</f>
        <v>('17.10.2021', '14', '15 th round', 'KVA', 'Sunday', 'Home', '4:3', '11', '16')</v>
      </c>
      <c r="W250" t="str">
        <f t="shared" si="3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</v>
      </c>
    </row>
    <row r="251" spans="1:23" x14ac:dyDescent="0.25">
      <c r="A251" s="2">
        <v>44491</v>
      </c>
      <c r="B251" s="1">
        <v>15</v>
      </c>
      <c r="C251" s="1" t="s">
        <v>104</v>
      </c>
      <c r="D251" s="1" t="s">
        <v>5</v>
      </c>
      <c r="E251" s="1" t="s">
        <v>55</v>
      </c>
      <c r="F251" s="1" t="s">
        <v>157</v>
      </c>
      <c r="G251" s="11" t="s">
        <v>173</v>
      </c>
      <c r="H251" s="1">
        <v>11</v>
      </c>
      <c r="I251" s="1">
        <v>19</v>
      </c>
      <c r="L251" t="s">
        <v>154</v>
      </c>
      <c r="M251" t="str">
        <f>CONCATENATE("(","'",TEXT(A251,"dd.m.rrrrr"),"'",L251,"'",B251,"'",L251,"'",C251,"'",L251,"'",D251,"'",L251,"'",E251,"'",L251,"'",F251,"'",L251,"'",G251,"'",L251,"'",H251,"'",L251,"'",I251,"'",")")</f>
        <v>('22.10.2021', '15', '16 th round', 'ZLN', 'Friday', 'Home', '2:1', '11', '19')</v>
      </c>
      <c r="W251" t="str">
        <f t="shared" si="3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</v>
      </c>
    </row>
    <row r="252" spans="1:23" x14ac:dyDescent="0.25">
      <c r="A252" s="2">
        <v>44493</v>
      </c>
      <c r="B252" s="1">
        <v>16</v>
      </c>
      <c r="C252" s="1" t="s">
        <v>105</v>
      </c>
      <c r="D252" s="1" t="s">
        <v>1</v>
      </c>
      <c r="E252" s="1" t="s">
        <v>57</v>
      </c>
      <c r="F252" s="1" t="s">
        <v>155</v>
      </c>
      <c r="G252" s="11" t="s">
        <v>163</v>
      </c>
      <c r="H252" s="1">
        <v>13</v>
      </c>
      <c r="I252" s="1">
        <v>19</v>
      </c>
      <c r="L252" t="s">
        <v>154</v>
      </c>
      <c r="M252" t="str">
        <f>CONCATENATE("(","'",TEXT(A252,"dd.m.rrrrr"),"'",L252,"'",B252,"'",L252,"'",C252,"'",L252,"'",D252,"'",L252,"'",E252,"'",L252,"'",F252,"'",L252,"'",G252,"'",L252,"'",H252,"'",L252,"'",I252,"'",")")</f>
        <v>('24.10.2021', '16', '17 th round', 'LIB', 'Sunday', 'Away', '0:3', '13', '19')</v>
      </c>
      <c r="W252" t="str">
        <f t="shared" si="3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</v>
      </c>
    </row>
    <row r="253" spans="1:23" x14ac:dyDescent="0.25">
      <c r="A253" s="2">
        <v>44495</v>
      </c>
      <c r="B253" s="1">
        <v>17</v>
      </c>
      <c r="C253" s="1" t="s">
        <v>106</v>
      </c>
      <c r="D253" s="1" t="s">
        <v>6</v>
      </c>
      <c r="E253" s="1" t="s">
        <v>59</v>
      </c>
      <c r="F253" s="1" t="s">
        <v>157</v>
      </c>
      <c r="G253" s="11" t="s">
        <v>176</v>
      </c>
      <c r="H253" s="1">
        <v>13</v>
      </c>
      <c r="I253" s="1">
        <v>19</v>
      </c>
      <c r="L253" t="s">
        <v>154</v>
      </c>
      <c r="M253" t="str">
        <f>CONCATENATE("(","'",TEXT(A253,"dd.m.rrrrr"),"'",L253,"'",B253,"'",L253,"'",C253,"'",L253,"'",D253,"'",L253,"'",E253,"'",L253,"'",F253,"'",L253,"'",G253,"'",L253,"'",H253,"'",L253,"'",I253,"'",")")</f>
        <v>('26.10.2021', '17', '18 th round', 'TRI', 'Tuesday', 'Home', '2:5', '13', '19')</v>
      </c>
      <c r="W253" t="str">
        <f t="shared" si="3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</v>
      </c>
    </row>
    <row r="254" spans="1:23" x14ac:dyDescent="0.25">
      <c r="A254" s="2">
        <v>44500</v>
      </c>
      <c r="B254" s="1">
        <v>18</v>
      </c>
      <c r="C254" s="1" t="s">
        <v>108</v>
      </c>
      <c r="D254" s="1" t="s">
        <v>28</v>
      </c>
      <c r="E254" s="1" t="s">
        <v>57</v>
      </c>
      <c r="F254" s="1" t="s">
        <v>157</v>
      </c>
      <c r="G254" s="11" t="s">
        <v>189</v>
      </c>
      <c r="H254" s="1">
        <v>12</v>
      </c>
      <c r="I254" s="1">
        <v>22</v>
      </c>
      <c r="L254" t="s">
        <v>154</v>
      </c>
      <c r="M254" t="str">
        <f>CONCATENATE("(","'",TEXT(A254,"dd.m.rrrrr"),"'",L254,"'",B254,"'",L254,"'",C254,"'",L254,"'",D254,"'",L254,"'",E254,"'",L254,"'",F254,"'",L254,"'",G254,"'",L254,"'",H254,"'",L254,"'",I254,"'",")")</f>
        <v>('31.10.2021', '18', '20 th round', 'KLA', 'Sunday', 'Home', '4:3', '12', '22')</v>
      </c>
      <c r="W254" t="str">
        <f t="shared" si="3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</v>
      </c>
    </row>
    <row r="255" spans="1:23" x14ac:dyDescent="0.25">
      <c r="A255" s="2">
        <v>44502</v>
      </c>
      <c r="B255" s="1">
        <v>19</v>
      </c>
      <c r="C255" s="1" t="s">
        <v>109</v>
      </c>
      <c r="D255" s="1" t="s">
        <v>9</v>
      </c>
      <c r="E255" s="1" t="s">
        <v>59</v>
      </c>
      <c r="F255" s="1" t="s">
        <v>155</v>
      </c>
      <c r="G255" s="11" t="s">
        <v>175</v>
      </c>
      <c r="H255" s="1">
        <v>12</v>
      </c>
      <c r="I255" s="1">
        <v>22</v>
      </c>
      <c r="L255" t="s">
        <v>154</v>
      </c>
      <c r="M255" t="str">
        <f>CONCATENATE("(","'",TEXT(A255,"dd.m.rrrrr"),"'",L255,"'",B255,"'",L255,"'",C255,"'",L255,"'",D255,"'",L255,"'",E255,"'",L255,"'",F255,"'",L255,"'",G255,"'",L255,"'",H255,"'",L255,"'",I255,"'",")")</f>
        <v>('02.11.2021', '19', '21 th round', 'PAR', 'Tuesday', 'Away', '2:4', '12', '22')</v>
      </c>
      <c r="W255" t="str">
        <f t="shared" si="3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</v>
      </c>
    </row>
    <row r="256" spans="1:23" x14ac:dyDescent="0.25">
      <c r="A256" s="2">
        <v>44504</v>
      </c>
      <c r="B256" s="1">
        <v>20</v>
      </c>
      <c r="C256" s="1" t="s">
        <v>110</v>
      </c>
      <c r="D256" s="1" t="s">
        <v>3</v>
      </c>
      <c r="E256" s="1" t="s">
        <v>61</v>
      </c>
      <c r="F256" s="1" t="s">
        <v>157</v>
      </c>
      <c r="G256" s="11" t="s">
        <v>180</v>
      </c>
      <c r="H256" s="1">
        <v>12</v>
      </c>
      <c r="I256" s="1">
        <v>25</v>
      </c>
      <c r="L256" t="s">
        <v>154</v>
      </c>
      <c r="M256" t="str">
        <f>CONCATENATE("(","'",TEXT(A256,"dd.m.rrrrr"),"'",L256,"'",B256,"'",L256,"'",C256,"'",L256,"'",D256,"'",L256,"'",E256,"'",L256,"'",F256,"'",L256,"'",G256,"'",L256,"'",H256,"'",L256,"'",I256,"'",")")</f>
        <v>('04.11.2021', '20', '22 th round', 'SPA', 'Thursday', 'Home', '3:2', '12', '25')</v>
      </c>
      <c r="W256" t="str">
        <f t="shared" si="3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</v>
      </c>
    </row>
    <row r="257" spans="1:23" x14ac:dyDescent="0.25">
      <c r="A257" s="2">
        <v>44507</v>
      </c>
      <c r="B257" s="1">
        <v>21</v>
      </c>
      <c r="C257" s="1" t="s">
        <v>111</v>
      </c>
      <c r="D257" s="1" t="s">
        <v>0</v>
      </c>
      <c r="E257" s="1" t="s">
        <v>57</v>
      </c>
      <c r="F257" s="1" t="s">
        <v>155</v>
      </c>
      <c r="G257" s="11" t="s">
        <v>189</v>
      </c>
      <c r="H257" s="1">
        <v>10</v>
      </c>
      <c r="I257" s="1">
        <v>28</v>
      </c>
      <c r="L257" t="s">
        <v>154</v>
      </c>
      <c r="M257" t="str">
        <f>CONCATENATE("(","'",TEXT(A257,"dd.m.rrrrr"),"'",L257,"'",B257,"'",L257,"'",C257,"'",L257,"'",D257,"'",L257,"'",E257,"'",L257,"'",F257,"'",L257,"'",G257,"'",L257,"'",H257,"'",L257,"'",I257,"'",")")</f>
        <v>('07.11.2021', '21', '23 th round', 'PLZ', 'Sunday', 'Away', '4:3', '10', '28')</v>
      </c>
      <c r="W257" t="str">
        <f t="shared" si="3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</v>
      </c>
    </row>
    <row r="258" spans="1:23" x14ac:dyDescent="0.25">
      <c r="A258" s="2">
        <v>44519</v>
      </c>
      <c r="B258" s="1">
        <v>22</v>
      </c>
      <c r="C258" s="1" t="s">
        <v>112</v>
      </c>
      <c r="D258" s="1" t="s">
        <v>7</v>
      </c>
      <c r="E258" s="1" t="s">
        <v>55</v>
      </c>
      <c r="F258" s="1" t="s">
        <v>157</v>
      </c>
      <c r="G258" s="11" t="s">
        <v>194</v>
      </c>
      <c r="H258" s="1">
        <v>9</v>
      </c>
      <c r="I258" s="1">
        <v>31</v>
      </c>
      <c r="L258" t="s">
        <v>154</v>
      </c>
      <c r="M258" t="str">
        <f>CONCATENATE("(","'",TEXT(A258,"dd.m.rrrrr"),"'",L258,"'",B258,"'",L258,"'",C258,"'",L258,"'",D258,"'",L258,"'",E258,"'",L258,"'",F258,"'",L258,"'",G258,"'",L258,"'",H258,"'",L258,"'",I258,"'",")")</f>
        <v>('19.11.2021', '22', '24 th round', 'MBO', 'Friday', 'Home', '5:0', '9', '31')</v>
      </c>
      <c r="W258" t="str">
        <f t="shared" si="3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</v>
      </c>
    </row>
    <row r="259" spans="1:23" x14ac:dyDescent="0.25">
      <c r="A259" s="2">
        <v>44521</v>
      </c>
      <c r="B259" s="1">
        <v>23</v>
      </c>
      <c r="C259" s="1" t="s">
        <v>113</v>
      </c>
      <c r="D259" s="1" t="s">
        <v>11</v>
      </c>
      <c r="E259" s="1" t="s">
        <v>57</v>
      </c>
      <c r="F259" s="1" t="s">
        <v>155</v>
      </c>
      <c r="G259" s="11" t="s">
        <v>175</v>
      </c>
      <c r="H259" s="1">
        <v>10</v>
      </c>
      <c r="I259" s="1">
        <v>31</v>
      </c>
      <c r="L259" t="s">
        <v>154</v>
      </c>
      <c r="M259" t="str">
        <f>CONCATENATE("(","'",TEXT(A259,"dd.m.rrrrr"),"'",L259,"'",B259,"'",L259,"'",C259,"'",L259,"'",D259,"'",L259,"'",E259,"'",L259,"'",F259,"'",L259,"'",G259,"'",L259,"'",H259,"'",L259,"'",I259,"'",")")</f>
        <v>('21.11.2021', '23', '25 th round', 'BRN', 'Sunday', 'Away', '2:4', '10', '31')</v>
      </c>
      <c r="W259" t="str">
        <f t="shared" si="3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</v>
      </c>
    </row>
    <row r="260" spans="1:23" x14ac:dyDescent="0.25">
      <c r="A260" s="2">
        <v>44526</v>
      </c>
      <c r="B260" s="1">
        <v>24</v>
      </c>
      <c r="C260" s="1" t="s">
        <v>114</v>
      </c>
      <c r="D260" s="1" t="s">
        <v>36</v>
      </c>
      <c r="E260" s="1" t="s">
        <v>55</v>
      </c>
      <c r="F260" s="1" t="s">
        <v>157</v>
      </c>
      <c r="G260" s="11" t="s">
        <v>180</v>
      </c>
      <c r="H260" s="1">
        <v>11</v>
      </c>
      <c r="I260" s="1">
        <v>34</v>
      </c>
      <c r="L260" t="s">
        <v>154</v>
      </c>
      <c r="M260" t="str">
        <f>CONCATENATE("(","'",TEXT(A260,"dd.m.rrrrr"),"'",L260,"'",B260,"'",L260,"'",C260,"'",L260,"'",D260,"'",L260,"'",E260,"'",L260,"'",F260,"'",L260,"'",G260,"'",L260,"'",H260,"'",L260,"'",I260,"'",")")</f>
        <v>('26.11.2021', '24', '26 th round', 'BUD', 'Friday', 'Home', '3:2', '11', '34')</v>
      </c>
      <c r="W260" t="str">
        <f t="shared" si="3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</v>
      </c>
    </row>
    <row r="261" spans="1:23" x14ac:dyDescent="0.25">
      <c r="A261" s="2">
        <v>44528</v>
      </c>
      <c r="B261" s="1">
        <v>25</v>
      </c>
      <c r="C261" s="1" t="s">
        <v>115</v>
      </c>
      <c r="D261" s="1" t="s">
        <v>10</v>
      </c>
      <c r="E261" s="1" t="s">
        <v>57</v>
      </c>
      <c r="F261" s="1" t="s">
        <v>157</v>
      </c>
      <c r="G261" s="3" t="s">
        <v>33</v>
      </c>
      <c r="H261" s="9">
        <v>10</v>
      </c>
      <c r="I261" s="1">
        <v>35</v>
      </c>
      <c r="L261" t="s">
        <v>154</v>
      </c>
      <c r="M261" t="str">
        <f>CONCATENATE("(","'",TEXT(A261,"dd.m.rrrrr"),"'",L261,"'",B261,"'",L261,"'",C261,"'",L261,"'",D261,"'",L261,"'",E261,"'",L261,"'",F261,"'",L261,"'",G261,"'",L261,"'",H261,"'",L261,"'",I261,"'",")")</f>
        <v>('28.11.2021', '25', '27 th round', 'VIT', 'Sunday', 'Home', '3:4sn', '10', '35')</v>
      </c>
      <c r="W261" t="str">
        <f t="shared" ref="W261:W324" si="4">CONCATENATE(W260,", ",M261)</f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</v>
      </c>
    </row>
    <row r="262" spans="1:23" x14ac:dyDescent="0.25">
      <c r="A262" s="2">
        <v>44530</v>
      </c>
      <c r="B262" s="1">
        <v>26</v>
      </c>
      <c r="C262" s="1" t="s">
        <v>116</v>
      </c>
      <c r="D262" s="1" t="s">
        <v>2</v>
      </c>
      <c r="E262" s="1" t="s">
        <v>59</v>
      </c>
      <c r="F262" s="1" t="s">
        <v>155</v>
      </c>
      <c r="G262" s="11" t="s">
        <v>174</v>
      </c>
      <c r="H262" s="1">
        <v>11</v>
      </c>
      <c r="I262" s="1">
        <v>35</v>
      </c>
      <c r="L262" t="s">
        <v>154</v>
      </c>
      <c r="M262" t="str">
        <f>CONCATENATE("(","'",TEXT(A262,"dd.m.rrrrr"),"'",L262,"'",B262,"'",L262,"'",C262,"'",L262,"'",D262,"'",L262,"'",E262,"'",L262,"'",F262,"'",L262,"'",G262,"'",L262,"'",H262,"'",L262,"'",I262,"'",")")</f>
        <v>('30.11.2021', '26', '28 th round', 'HRK', 'Tuesday', 'Away', '2:3', '11', '35')</v>
      </c>
      <c r="W262" t="str">
        <f t="shared" si="4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</v>
      </c>
    </row>
    <row r="263" spans="1:23" x14ac:dyDescent="0.25">
      <c r="A263" s="2">
        <v>44533</v>
      </c>
      <c r="B263" s="1">
        <v>27</v>
      </c>
      <c r="C263" s="1" t="s">
        <v>117</v>
      </c>
      <c r="D263" s="1" t="s">
        <v>4</v>
      </c>
      <c r="E263" s="1" t="s">
        <v>55</v>
      </c>
      <c r="F263" s="1" t="s">
        <v>157</v>
      </c>
      <c r="G263" s="11" t="s">
        <v>181</v>
      </c>
      <c r="H263" s="1">
        <v>12</v>
      </c>
      <c r="I263" s="1">
        <v>35</v>
      </c>
      <c r="L263" t="s">
        <v>154</v>
      </c>
      <c r="M263" t="str">
        <f>CONCATENATE("(","'",TEXT(A263,"dd.m.rrrrr"),"'",L263,"'",B263,"'",L263,"'",C263,"'",L263,"'",D263,"'",L263,"'",E263,"'",L263,"'",F263,"'",L263,"'",G263,"'",L263,"'",H263,"'",L263,"'",I263,"'",")")</f>
        <v>('03.12.2021', '27', '29 th round', 'OLO', 'Friday', 'Home', '3:4', '12', '35')</v>
      </c>
      <c r="W263" t="str">
        <f t="shared" si="4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</v>
      </c>
    </row>
    <row r="264" spans="1:23" x14ac:dyDescent="0.25">
      <c r="A264" s="2">
        <v>44535</v>
      </c>
      <c r="B264" s="1">
        <v>28</v>
      </c>
      <c r="C264" s="1" t="s">
        <v>118</v>
      </c>
      <c r="D264" s="1" t="s">
        <v>27</v>
      </c>
      <c r="E264" s="1" t="s">
        <v>57</v>
      </c>
      <c r="F264" s="1" t="s">
        <v>155</v>
      </c>
      <c r="G264" s="11" t="s">
        <v>180</v>
      </c>
      <c r="H264" s="4">
        <v>11</v>
      </c>
      <c r="I264" s="4">
        <v>38</v>
      </c>
      <c r="L264" t="s">
        <v>154</v>
      </c>
      <c r="M264" t="str">
        <f>CONCATENATE("(","'",TEXT(A264,"dd.m.rrrrr"),"'",L264,"'",B264,"'",L264,"'",C264,"'",L264,"'",D264,"'",L264,"'",E264,"'",L264,"'",F264,"'",L264,"'",G264,"'",L264,"'",H264,"'",L264,"'",I264,"'",")")</f>
        <v>('05.12.2021', '28', '30 th round', 'KVA', 'Sunday', 'Away', '3:2', '11', '38')</v>
      </c>
      <c r="W264" t="str">
        <f t="shared" si="4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</v>
      </c>
    </row>
    <row r="265" spans="1:23" x14ac:dyDescent="0.25">
      <c r="A265" s="2">
        <v>44540</v>
      </c>
      <c r="B265" s="1">
        <v>29</v>
      </c>
      <c r="C265" s="1" t="s">
        <v>119</v>
      </c>
      <c r="D265" s="1" t="s">
        <v>5</v>
      </c>
      <c r="E265" s="1" t="s">
        <v>55</v>
      </c>
      <c r="F265" s="1" t="s">
        <v>155</v>
      </c>
      <c r="G265" s="11" t="s">
        <v>169</v>
      </c>
      <c r="H265" s="1">
        <v>12</v>
      </c>
      <c r="I265" s="1">
        <v>38</v>
      </c>
      <c r="L265" t="s">
        <v>154</v>
      </c>
      <c r="M265" t="str">
        <f>CONCATENATE("(","'",TEXT(A265,"dd.m.rrrrr"),"'",L265,"'",B265,"'",L265,"'",C265,"'",L265,"'",D265,"'",L265,"'",E265,"'",L265,"'",F265,"'",L265,"'",G265,"'",L265,"'",H265,"'",L265,"'",I265,"'",")")</f>
        <v>('10.12.2021', '29', '31 th round', 'ZLN', 'Friday', 'Away', '1:4', '12', '38')</v>
      </c>
      <c r="W265" t="str">
        <f t="shared" si="4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</v>
      </c>
    </row>
    <row r="266" spans="1:23" x14ac:dyDescent="0.25">
      <c r="A266" s="2">
        <v>44542</v>
      </c>
      <c r="B266" s="1">
        <v>30</v>
      </c>
      <c r="C266" s="1" t="s">
        <v>120</v>
      </c>
      <c r="D266" s="1" t="s">
        <v>1</v>
      </c>
      <c r="E266" s="1" t="s">
        <v>57</v>
      </c>
      <c r="F266" s="1" t="s">
        <v>157</v>
      </c>
      <c r="G266" s="11" t="s">
        <v>172</v>
      </c>
      <c r="H266" s="1">
        <v>11</v>
      </c>
      <c r="I266" s="1">
        <v>41</v>
      </c>
      <c r="L266" t="s">
        <v>154</v>
      </c>
      <c r="M266" t="str">
        <f>CONCATENATE("(","'",TEXT(A266,"dd.m.rrrrr"),"'",L266,"'",B266,"'",L266,"'",C266,"'",L266,"'",D266,"'",L266,"'",E266,"'",L266,"'",F266,"'",L266,"'",G266,"'",L266,"'",H266,"'",L266,"'",I266,"'",")")</f>
        <v>('12.12.2021', '30', '32 th round', 'LIB', 'Sunday', 'Home', '2:0', '11', '41')</v>
      </c>
      <c r="W266" t="str">
        <f t="shared" si="4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</v>
      </c>
    </row>
    <row r="267" spans="1:23" x14ac:dyDescent="0.25">
      <c r="A267" s="2">
        <v>44551</v>
      </c>
      <c r="B267" s="1">
        <v>31</v>
      </c>
      <c r="C267" s="1" t="s">
        <v>121</v>
      </c>
      <c r="D267" s="1" t="s">
        <v>6</v>
      </c>
      <c r="E267" s="1" t="s">
        <v>59</v>
      </c>
      <c r="F267" s="1" t="s">
        <v>155</v>
      </c>
      <c r="G267" s="11" t="s">
        <v>168</v>
      </c>
      <c r="H267" s="1">
        <v>12</v>
      </c>
      <c r="I267" s="1">
        <v>41</v>
      </c>
      <c r="L267" t="s">
        <v>154</v>
      </c>
      <c r="M267" t="str">
        <f>CONCATENATE("(","'",TEXT(A267,"dd.m.rrrrr"),"'",L267,"'",B267,"'",L267,"'",C267,"'",L267,"'",D267,"'",L267,"'",E267,"'",L267,"'",F267,"'",L267,"'",G267,"'",L267,"'",H267,"'",L267,"'",I267,"'",")")</f>
        <v>('21.12.2021', '31', '33 th round', 'TRI', 'Tuesday', 'Away', '1:3', '12', '41')</v>
      </c>
      <c r="W267" t="str">
        <f t="shared" si="4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</v>
      </c>
    </row>
    <row r="268" spans="1:23" x14ac:dyDescent="0.25">
      <c r="A268" s="2">
        <v>44556</v>
      </c>
      <c r="B268" s="1">
        <v>32</v>
      </c>
      <c r="C268" s="1" t="s">
        <v>123</v>
      </c>
      <c r="D268" s="1" t="s">
        <v>28</v>
      </c>
      <c r="E268" s="1" t="s">
        <v>57</v>
      </c>
      <c r="F268" s="1" t="s">
        <v>155</v>
      </c>
      <c r="G268" s="3" t="s">
        <v>26</v>
      </c>
      <c r="H268" s="1">
        <v>12</v>
      </c>
      <c r="I268" s="1">
        <v>42</v>
      </c>
      <c r="L268" t="s">
        <v>154</v>
      </c>
      <c r="M268" t="str">
        <f>CONCATENATE("(","'",TEXT(A268,"dd.m.rrrrr"),"'",L268,"'",B268,"'",L268,"'",C268,"'",L268,"'",D268,"'",L268,"'",E268,"'",L268,"'",F268,"'",L268,"'",G268,"'",L268,"'",H268,"'",L268,"'",I268,"'",")")</f>
        <v>('26.12.2021', '32', '35 th round', 'KLA', 'Sunday', 'Away', '2:3pp', '12', '42')</v>
      </c>
      <c r="W268" t="str">
        <f t="shared" si="4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</v>
      </c>
    </row>
    <row r="269" spans="1:23" x14ac:dyDescent="0.25">
      <c r="A269" s="2">
        <v>44558</v>
      </c>
      <c r="B269" s="1">
        <v>33</v>
      </c>
      <c r="C269" s="1" t="s">
        <v>124</v>
      </c>
      <c r="D269" s="1" t="s">
        <v>9</v>
      </c>
      <c r="E269" s="1" t="s">
        <v>59</v>
      </c>
      <c r="F269" s="7" t="s">
        <v>157</v>
      </c>
      <c r="G269" s="11" t="s">
        <v>160</v>
      </c>
      <c r="H269" s="1">
        <v>12</v>
      </c>
      <c r="I269" s="1">
        <v>42</v>
      </c>
      <c r="L269" t="s">
        <v>154</v>
      </c>
      <c r="M269" t="str">
        <f>CONCATENATE("(","'",TEXT(A269,"dd.m.rrrrr"),"'",L269,"'",B269,"'",L269,"'",C269,"'",L269,"'",D269,"'",L269,"'",E269,"'",L269,"'",F269,"'",L269,"'",G269,"'",L269,"'",H269,"'",L269,"'",I269,"'",")")</f>
        <v>('28.12.2021', '33', '36 th round', 'PAR', 'Tuesday', 'Home', '1:5', '12', '42')</v>
      </c>
      <c r="W269" t="str">
        <f t="shared" si="4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</v>
      </c>
    </row>
    <row r="270" spans="1:23" x14ac:dyDescent="0.25">
      <c r="A270" s="2">
        <v>44560</v>
      </c>
      <c r="B270" s="1">
        <v>34</v>
      </c>
      <c r="C270" s="1" t="s">
        <v>135</v>
      </c>
      <c r="D270" s="1" t="s">
        <v>1</v>
      </c>
      <c r="E270" s="1" t="s">
        <v>61</v>
      </c>
      <c r="F270" s="1" t="s">
        <v>155</v>
      </c>
      <c r="G270" s="11" t="s">
        <v>180</v>
      </c>
      <c r="H270" s="1">
        <v>12</v>
      </c>
      <c r="I270" s="1">
        <v>45</v>
      </c>
      <c r="L270" t="s">
        <v>154</v>
      </c>
      <c r="M270" t="str">
        <f>CONCATENATE("(","'",TEXT(A270,"dd.m.rrrrr"),"'",L270,"'",B270,"'",L270,"'",C270,"'",L270,"'",D270,"'",L270,"'",E270,"'",L270,"'",F270,"'",L270,"'",G270,"'",L270,"'",H270,"'",L270,"'",I270,"'",")")</f>
        <v>('30.12.2021', '34', '47 th round', 'LIB', 'Thursday', 'Away', '3:2', '12', '45')</v>
      </c>
      <c r="W270" t="str">
        <f t="shared" si="4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</v>
      </c>
    </row>
    <row r="271" spans="1:23" x14ac:dyDescent="0.25">
      <c r="A271" s="2">
        <v>44565</v>
      </c>
      <c r="B271" s="1">
        <v>35</v>
      </c>
      <c r="C271" s="1" t="s">
        <v>126</v>
      </c>
      <c r="D271" s="1" t="s">
        <v>0</v>
      </c>
      <c r="E271" s="1" t="s">
        <v>59</v>
      </c>
      <c r="F271" s="1" t="s">
        <v>157</v>
      </c>
      <c r="G271" s="3" t="s">
        <v>19</v>
      </c>
      <c r="H271" s="1">
        <v>12</v>
      </c>
      <c r="I271" s="1">
        <v>47</v>
      </c>
      <c r="L271" t="s">
        <v>154</v>
      </c>
      <c r="M271" t="str">
        <f>CONCATENATE("(","'",TEXT(A271,"dd.m.rrrrr"),"'",L271,"'",B271,"'",L271,"'",C271,"'",L271,"'",D271,"'",L271,"'",E271,"'",L271,"'",F271,"'",L271,"'",G271,"'",L271,"'",H271,"'",L271,"'",I271,"'",")")</f>
        <v>('04.1.2022', '35', '38 th round', 'PLZ', 'Tuesday', 'Home', '4:3pp', '12', '47')</v>
      </c>
      <c r="W271" t="str">
        <f t="shared" si="4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</v>
      </c>
    </row>
    <row r="272" spans="1:23" x14ac:dyDescent="0.25">
      <c r="A272" s="2">
        <v>44568</v>
      </c>
      <c r="B272" s="1">
        <v>36</v>
      </c>
      <c r="C272" s="1" t="s">
        <v>127</v>
      </c>
      <c r="D272" s="1" t="s">
        <v>7</v>
      </c>
      <c r="E272" s="1" t="s">
        <v>55</v>
      </c>
      <c r="F272" s="1" t="s">
        <v>155</v>
      </c>
      <c r="G272" s="11" t="s">
        <v>181</v>
      </c>
      <c r="H272" s="1">
        <v>12</v>
      </c>
      <c r="I272" s="1">
        <v>47</v>
      </c>
      <c r="L272" t="s">
        <v>154</v>
      </c>
      <c r="M272" t="str">
        <f>CONCATENATE("(","'",TEXT(A272,"dd.m.rrrrr"),"'",L272,"'",B272,"'",L272,"'",C272,"'",L272,"'",D272,"'",L272,"'",E272,"'",L272,"'",F272,"'",L272,"'",G272,"'",L272,"'",H272,"'",L272,"'",I272,"'",")")</f>
        <v>('07.1.2022', '36', '39 th round', 'MBO', 'Friday', 'Away', '3:4', '12', '47')</v>
      </c>
      <c r="W272" t="str">
        <f t="shared" si="4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</v>
      </c>
    </row>
    <row r="273" spans="1:23" x14ac:dyDescent="0.25">
      <c r="A273" s="2">
        <v>44570</v>
      </c>
      <c r="B273" s="1">
        <v>37</v>
      </c>
      <c r="C273" s="1" t="s">
        <v>128</v>
      </c>
      <c r="D273" s="1" t="s">
        <v>11</v>
      </c>
      <c r="E273" s="1" t="s">
        <v>57</v>
      </c>
      <c r="F273" s="1" t="s">
        <v>157</v>
      </c>
      <c r="G273" s="3" t="s">
        <v>26</v>
      </c>
      <c r="H273" s="1">
        <v>12</v>
      </c>
      <c r="I273" s="1">
        <v>48</v>
      </c>
      <c r="L273" t="s">
        <v>154</v>
      </c>
      <c r="M273" t="str">
        <f>CONCATENATE("(","'",TEXT(A273,"dd.m.rrrrr"),"'",L273,"'",B273,"'",L273,"'",C273,"'",L273,"'",D273,"'",L273,"'",E273,"'",L273,"'",F273,"'",L273,"'",G273,"'",L273,"'",H273,"'",L273,"'",I273,"'",")")</f>
        <v>('09.1.2022', '37', '40 th round', 'BRN', 'Sunday', 'Home', '2:3pp', '12', '48')</v>
      </c>
      <c r="W273" t="str">
        <f t="shared" si="4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</v>
      </c>
    </row>
    <row r="274" spans="1:23" x14ac:dyDescent="0.25">
      <c r="A274" s="2">
        <v>44577</v>
      </c>
      <c r="B274" s="1">
        <v>38</v>
      </c>
      <c r="C274" s="1" t="s">
        <v>130</v>
      </c>
      <c r="D274" s="1" t="s">
        <v>10</v>
      </c>
      <c r="E274" s="1" t="s">
        <v>57</v>
      </c>
      <c r="F274" s="1" t="s">
        <v>155</v>
      </c>
      <c r="G274" s="11" t="s">
        <v>200</v>
      </c>
      <c r="H274" s="1">
        <v>12</v>
      </c>
      <c r="I274" s="1">
        <v>51</v>
      </c>
      <c r="L274" t="s">
        <v>154</v>
      </c>
      <c r="M274" t="str">
        <f>CONCATENATE("(","'",TEXT(A274,"dd.m.rrrrr"),"'",L274,"'",B274,"'",L274,"'",C274,"'",L274,"'",D274,"'",L274,"'",E274,"'",L274,"'",F274,"'",L274,"'",G274,"'",L274,"'",H274,"'",L274,"'",I274,"'",")")</f>
        <v>('16.1.2022', '38', '42 th round', 'VIT', 'Sunday', 'Away', '6:1', '12', '51')</v>
      </c>
      <c r="W274" t="str">
        <f t="shared" si="4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</v>
      </c>
    </row>
    <row r="275" spans="1:23" x14ac:dyDescent="0.25">
      <c r="A275" s="2">
        <v>44586</v>
      </c>
      <c r="B275" s="1">
        <v>39</v>
      </c>
      <c r="C275" s="1" t="s">
        <v>125</v>
      </c>
      <c r="D275" s="1" t="s">
        <v>3</v>
      </c>
      <c r="E275" s="1" t="s">
        <v>59</v>
      </c>
      <c r="F275" s="1" t="s">
        <v>155</v>
      </c>
      <c r="G275" s="11" t="s">
        <v>168</v>
      </c>
      <c r="H275" s="1">
        <v>12</v>
      </c>
      <c r="I275" s="1">
        <v>51</v>
      </c>
      <c r="L275" t="s">
        <v>154</v>
      </c>
      <c r="M275" t="str">
        <f>CONCATENATE("(","'",TEXT(A275,"dd.m.rrrrr"),"'",L275,"'",B275,"'",L275,"'",C275,"'",L275,"'",D275,"'",L275,"'",E275,"'",L275,"'",F275,"'",L275,"'",G275,"'",L275,"'",H275,"'",L275,"'",I275,"'",")")</f>
        <v>('25.1.2022', '39', '37 th round', 'SPA', 'Tuesday', 'Away', '1:3', '12', '51')</v>
      </c>
      <c r="W275" t="str">
        <f t="shared" si="4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</v>
      </c>
    </row>
    <row r="276" spans="1:23" x14ac:dyDescent="0.25">
      <c r="A276" s="2">
        <v>44589</v>
      </c>
      <c r="B276" s="1">
        <v>40</v>
      </c>
      <c r="C276" s="1" t="s">
        <v>134</v>
      </c>
      <c r="D276" s="1" t="s">
        <v>5</v>
      </c>
      <c r="E276" s="1" t="s">
        <v>55</v>
      </c>
      <c r="F276" s="1" t="s">
        <v>157</v>
      </c>
      <c r="G276" s="3" t="s">
        <v>18</v>
      </c>
      <c r="H276" s="1">
        <v>13</v>
      </c>
      <c r="I276" s="1">
        <v>52</v>
      </c>
      <c r="L276" t="s">
        <v>154</v>
      </c>
      <c r="M276" t="str">
        <f>CONCATENATE("(","'",TEXT(A276,"dd.m.rrrrr"),"'",L276,"'",B276,"'",L276,"'",C276,"'",L276,"'",D276,"'",L276,"'",E276,"'",L276,"'",F276,"'",L276,"'",G276,"'",L276,"'",H276,"'",L276,"'",I276,"'",")")</f>
        <v>('28.1.2022', '40', '46 th round', 'ZLN', 'Friday', 'Home', '3:4pp', '13', '52')</v>
      </c>
      <c r="W276" t="str">
        <f t="shared" si="4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</v>
      </c>
    </row>
    <row r="277" spans="1:23" x14ac:dyDescent="0.25">
      <c r="A277" s="2">
        <v>44591</v>
      </c>
      <c r="B277" s="1">
        <v>41</v>
      </c>
      <c r="C277" s="1" t="s">
        <v>138</v>
      </c>
      <c r="D277" s="1" t="s">
        <v>28</v>
      </c>
      <c r="E277" s="1" t="s">
        <v>57</v>
      </c>
      <c r="F277" s="1" t="s">
        <v>157</v>
      </c>
      <c r="G277" s="11" t="s">
        <v>176</v>
      </c>
      <c r="H277" s="1">
        <v>13</v>
      </c>
      <c r="I277" s="1">
        <v>52</v>
      </c>
      <c r="L277" t="s">
        <v>154</v>
      </c>
      <c r="M277" t="str">
        <f>CONCATENATE("(","'",TEXT(A277,"dd.m.rrrrr"),"'",L277,"'",B277,"'",L277,"'",C277,"'",L277,"'",D277,"'",L277,"'",E277,"'",L277,"'",F277,"'",L277,"'",G277,"'",L277,"'",H277,"'",L277,"'",I277,"'",")")</f>
        <v>('30.1.2022', '41', '50 th round', 'KLA', 'Sunday', 'Home', '2:5', '13', '52')</v>
      </c>
      <c r="W277" t="str">
        <f t="shared" si="4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</v>
      </c>
    </row>
    <row r="278" spans="1:23" x14ac:dyDescent="0.25">
      <c r="A278" s="2">
        <v>44593</v>
      </c>
      <c r="B278" s="1">
        <v>42</v>
      </c>
      <c r="C278" s="1" t="s">
        <v>136</v>
      </c>
      <c r="D278" s="1" t="s">
        <v>6</v>
      </c>
      <c r="E278" s="1" t="s">
        <v>59</v>
      </c>
      <c r="F278" s="1" t="s">
        <v>157</v>
      </c>
      <c r="G278" s="11" t="s">
        <v>177</v>
      </c>
      <c r="H278" s="4">
        <v>13</v>
      </c>
      <c r="I278" s="4">
        <v>52</v>
      </c>
      <c r="L278" t="s">
        <v>154</v>
      </c>
      <c r="M278" t="str">
        <f>CONCATENATE("(","'",TEXT(A278,"dd.m.rrrrr"),"'",L278,"'",B278,"'",L278,"'",C278,"'",L278,"'",D278,"'",L278,"'",E278,"'",L278,"'",F278,"'",L278,"'",G278,"'",L278,"'",H278,"'",L278,"'",I278,"'",")")</f>
        <v>('01.2.2022', '42', '48 th round', 'TRI', 'Tuesday', 'Home', '2:6', '13', '52')</v>
      </c>
      <c r="W278" t="str">
        <f t="shared" si="4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</v>
      </c>
    </row>
    <row r="279" spans="1:23" x14ac:dyDescent="0.25">
      <c r="A279" s="2">
        <v>44595</v>
      </c>
      <c r="B279" s="1">
        <v>43</v>
      </c>
      <c r="C279" s="1" t="s">
        <v>139</v>
      </c>
      <c r="D279" s="1" t="s">
        <v>9</v>
      </c>
      <c r="E279" s="1" t="s">
        <v>61</v>
      </c>
      <c r="F279" s="1" t="s">
        <v>155</v>
      </c>
      <c r="G279" s="3" t="s">
        <v>38</v>
      </c>
      <c r="H279" s="1">
        <v>13</v>
      </c>
      <c r="I279" s="1">
        <v>53</v>
      </c>
      <c r="L279" t="s">
        <v>154</v>
      </c>
      <c r="M279" t="str">
        <f>CONCATENATE("(","'",TEXT(A279,"dd.m.rrrrr"),"'",L279,"'",B279,"'",L279,"'",C279,"'",L279,"'",D279,"'",L279,"'",E279,"'",L279,"'",F279,"'",L279,"'",G279,"'",L279,"'",H279,"'",L279,"'",I279,"'",")")</f>
        <v>('03.2.2022', '43', '51 th round', 'PAR', 'Thursday', 'Away', '5:6pp', '13', '53')</v>
      </c>
      <c r="W279" t="str">
        <f t="shared" si="4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</v>
      </c>
    </row>
    <row r="280" spans="1:23" x14ac:dyDescent="0.25">
      <c r="A280" s="2">
        <v>44598</v>
      </c>
      <c r="B280" s="1">
        <v>44</v>
      </c>
      <c r="C280" s="1" t="s">
        <v>133</v>
      </c>
      <c r="D280" s="1" t="s">
        <v>27</v>
      </c>
      <c r="E280" s="1" t="s">
        <v>57</v>
      </c>
      <c r="F280" s="1" t="s">
        <v>157</v>
      </c>
      <c r="G280" s="3" t="s">
        <v>19</v>
      </c>
      <c r="H280" s="1">
        <v>13</v>
      </c>
      <c r="I280" s="1">
        <v>55</v>
      </c>
      <c r="L280" t="s">
        <v>154</v>
      </c>
      <c r="M280" t="str">
        <f>CONCATENATE("(","'",TEXT(A280,"dd.m.rrrrr"),"'",L280,"'",B280,"'",L280,"'",C280,"'",L280,"'",D280,"'",L280,"'",E280,"'",L280,"'",F280,"'",L280,"'",G280,"'",L280,"'",H280,"'",L280,"'",I280,"'",")")</f>
        <v>('06.2.2022', '44', '45 th round', 'KVA', 'Sunday', 'Home', '4:3pp', '13', '55')</v>
      </c>
      <c r="W280" t="str">
        <f t="shared" si="4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</v>
      </c>
    </row>
    <row r="281" spans="1:23" x14ac:dyDescent="0.25">
      <c r="A281" s="2">
        <v>44600</v>
      </c>
      <c r="B281" s="1">
        <v>45</v>
      </c>
      <c r="C281" s="1" t="s">
        <v>132</v>
      </c>
      <c r="D281" s="1" t="s">
        <v>4</v>
      </c>
      <c r="E281" s="1" t="s">
        <v>59</v>
      </c>
      <c r="F281" s="1" t="s">
        <v>155</v>
      </c>
      <c r="G281" s="11" t="s">
        <v>169</v>
      </c>
      <c r="H281" s="1">
        <v>13</v>
      </c>
      <c r="I281" s="1">
        <v>55</v>
      </c>
      <c r="L281" t="s">
        <v>154</v>
      </c>
      <c r="M281" t="str">
        <f>CONCATENATE("(","'",TEXT(A281,"dd.m.rrrrr"),"'",L281,"'",B281,"'",L281,"'",C281,"'",L281,"'",D281,"'",L281,"'",E281,"'",L281,"'",F281,"'",L281,"'",G281,"'",L281,"'",H281,"'",L281,"'",I281,"'",")")</f>
        <v>('08.2.2022', '45', '44 th round', 'OLO', 'Tuesday', 'Away', '1:4', '13', '55')</v>
      </c>
      <c r="W281" t="str">
        <f t="shared" si="4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</v>
      </c>
    </row>
    <row r="282" spans="1:23" x14ac:dyDescent="0.25">
      <c r="A282" s="2">
        <v>44603</v>
      </c>
      <c r="B282" s="1">
        <v>46</v>
      </c>
      <c r="C282" s="1" t="s">
        <v>129</v>
      </c>
      <c r="D282" s="1" t="s">
        <v>36</v>
      </c>
      <c r="E282" s="1" t="s">
        <v>55</v>
      </c>
      <c r="F282" s="1" t="s">
        <v>157</v>
      </c>
      <c r="G282" s="11" t="s">
        <v>181</v>
      </c>
      <c r="H282" s="1">
        <v>13</v>
      </c>
      <c r="I282" s="1">
        <v>55</v>
      </c>
      <c r="L282" t="s">
        <v>154</v>
      </c>
      <c r="M282" t="str">
        <f>CONCATENATE("(","'",TEXT(A282,"dd.m.rrrrr"),"'",L282,"'",B282,"'",L282,"'",C282,"'",L282,"'",D282,"'",L282,"'",E282,"'",L282,"'",F282,"'",L282,"'",G282,"'",L282,"'",H282,"'",L282,"'",I282,"'",")")</f>
        <v>('11.2.2022', '46', '41 th round', 'BUD', 'Friday', 'Home', '3:4', '13', '55')</v>
      </c>
      <c r="W282" t="str">
        <f t="shared" si="4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</v>
      </c>
    </row>
    <row r="283" spans="1:23" x14ac:dyDescent="0.25">
      <c r="A283" s="2">
        <v>44605</v>
      </c>
      <c r="B283" s="1">
        <v>47</v>
      </c>
      <c r="C283" s="1" t="s">
        <v>140</v>
      </c>
      <c r="D283" s="1" t="s">
        <v>3</v>
      </c>
      <c r="E283" s="1" t="s">
        <v>57</v>
      </c>
      <c r="F283" s="1" t="s">
        <v>157</v>
      </c>
      <c r="G283" s="11" t="s">
        <v>165</v>
      </c>
      <c r="H283" s="1">
        <v>13</v>
      </c>
      <c r="I283" s="1">
        <v>55</v>
      </c>
      <c r="L283" t="s">
        <v>154</v>
      </c>
      <c r="M283" t="str">
        <f>CONCATENATE("(","'",TEXT(A283,"dd.m.rrrrr"),"'",L283,"'",B283,"'",L283,"'",C283,"'",L283,"'",D283,"'",L283,"'",E283,"'",L283,"'",F283,"'",L283,"'",G283,"'",L283,"'",H283,"'",L283,"'",I283,"'",")")</f>
        <v>('13.2.2022', '47', '52 th round', 'SPA', 'Sunday', 'Home', '0:5', '13', '55')</v>
      </c>
      <c r="W283" t="str">
        <f t="shared" si="4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</v>
      </c>
    </row>
    <row r="284" spans="1:23" x14ac:dyDescent="0.25">
      <c r="A284" s="2">
        <v>44610</v>
      </c>
      <c r="B284" s="1">
        <v>48</v>
      </c>
      <c r="C284" s="1" t="s">
        <v>141</v>
      </c>
      <c r="D284" s="1" t="s">
        <v>0</v>
      </c>
      <c r="E284" s="1" t="s">
        <v>55</v>
      </c>
      <c r="F284" s="1" t="s">
        <v>155</v>
      </c>
      <c r="G284" s="3" t="s">
        <v>18</v>
      </c>
      <c r="H284" s="1">
        <v>13</v>
      </c>
      <c r="I284" s="1">
        <v>56</v>
      </c>
      <c r="L284" t="s">
        <v>154</v>
      </c>
      <c r="M284" t="str">
        <f>CONCATENATE("(","'",TEXT(A284,"dd.m.rrrrr"),"'",L284,"'",B284,"'",L284,"'",C284,"'",L284,"'",D284,"'",L284,"'",E284,"'",L284,"'",F284,"'",L284,"'",G284,"'",L284,"'",H284,"'",L284,"'",I284,"'",")")</f>
        <v>('18.2.2022', '48', '53 th round', 'PLZ', 'Friday', 'Away', '3:4pp', '13', '56')</v>
      </c>
      <c r="W284" t="str">
        <f t="shared" si="4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</v>
      </c>
    </row>
    <row r="285" spans="1:23" x14ac:dyDescent="0.25">
      <c r="A285" s="2">
        <v>44612</v>
      </c>
      <c r="B285" s="1">
        <v>49</v>
      </c>
      <c r="C285" s="1" t="s">
        <v>142</v>
      </c>
      <c r="D285" s="1" t="s">
        <v>7</v>
      </c>
      <c r="E285" s="1" t="s">
        <v>57</v>
      </c>
      <c r="F285" s="1" t="s">
        <v>157</v>
      </c>
      <c r="G285" s="11" t="s">
        <v>179</v>
      </c>
      <c r="H285" s="1">
        <v>13</v>
      </c>
      <c r="I285" s="1">
        <v>59</v>
      </c>
      <c r="L285" t="s">
        <v>154</v>
      </c>
      <c r="M285" t="str">
        <f>CONCATENATE("(","'",TEXT(A285,"dd.m.rrrrr"),"'",L285,"'",B285,"'",L285,"'",C285,"'",L285,"'",D285,"'",L285,"'",E285,"'",L285,"'",F285,"'",L285,"'",G285,"'",L285,"'",H285,"'",L285,"'",I285,"'",")")</f>
        <v>('20.2.2022', '49', '54 th round', 'MBO', 'Sunday', 'Home', '3:1', '13', '59')</v>
      </c>
      <c r="W285" t="str">
        <f t="shared" si="4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</v>
      </c>
    </row>
    <row r="286" spans="1:23" x14ac:dyDescent="0.25">
      <c r="A286" s="2">
        <v>44614</v>
      </c>
      <c r="B286" s="1">
        <v>50</v>
      </c>
      <c r="C286" s="1" t="s">
        <v>143</v>
      </c>
      <c r="D286" s="1" t="s">
        <v>11</v>
      </c>
      <c r="E286" s="1" t="s">
        <v>59</v>
      </c>
      <c r="F286" s="1" t="s">
        <v>155</v>
      </c>
      <c r="G286" s="11" t="s">
        <v>195</v>
      </c>
      <c r="H286" s="1">
        <v>13</v>
      </c>
      <c r="I286" s="1">
        <v>62</v>
      </c>
      <c r="L286" t="s">
        <v>154</v>
      </c>
      <c r="M286" t="str">
        <f>CONCATENATE("(","'",TEXT(A286,"dd.m.rrrrr"),"'",L286,"'",B286,"'",L286,"'",C286,"'",L286,"'",D286,"'",L286,"'",E286,"'",L286,"'",F286,"'",L286,"'",G286,"'",L286,"'",H286,"'",L286,"'",I286,"'",")")</f>
        <v>('22.2.2022', '50', '55 th round', 'BRN', 'Tuesday', 'Away', '5:1', '13', '62')</v>
      </c>
      <c r="W286" t="str">
        <f t="shared" si="4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</v>
      </c>
    </row>
    <row r="287" spans="1:23" x14ac:dyDescent="0.25">
      <c r="A287" s="2">
        <v>44617</v>
      </c>
      <c r="B287" s="1">
        <v>51</v>
      </c>
      <c r="C287" s="1" t="s">
        <v>144</v>
      </c>
      <c r="D287" s="1" t="s">
        <v>36</v>
      </c>
      <c r="E287" s="1" t="s">
        <v>55</v>
      </c>
      <c r="F287" s="1" t="s">
        <v>155</v>
      </c>
      <c r="G287" s="11" t="s">
        <v>200</v>
      </c>
      <c r="H287" s="1">
        <v>13</v>
      </c>
      <c r="I287" s="1">
        <v>65</v>
      </c>
      <c r="L287" t="s">
        <v>154</v>
      </c>
      <c r="M287" t="str">
        <f>CONCATENATE("(","'",TEXT(A287,"dd.m.rrrrr"),"'",L287,"'",B287,"'",L287,"'",C287,"'",L287,"'",D287,"'",L287,"'",E287,"'",L287,"'",F287,"'",L287,"'",G287,"'",L287,"'",H287,"'",L287,"'",I287,"'",")")</f>
        <v>('25.2.2022', '51', '56 th round', 'BUD', 'Friday', 'Away', '6:1', '13', '65')</v>
      </c>
      <c r="W287" t="str">
        <f t="shared" si="4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</v>
      </c>
    </row>
    <row r="288" spans="1:23" x14ac:dyDescent="0.25">
      <c r="A288" s="2">
        <v>44619</v>
      </c>
      <c r="B288" s="1">
        <v>52</v>
      </c>
      <c r="C288" s="1" t="s">
        <v>145</v>
      </c>
      <c r="D288" s="1" t="s">
        <v>10</v>
      </c>
      <c r="E288" s="1" t="s">
        <v>57</v>
      </c>
      <c r="F288" s="1" t="s">
        <v>157</v>
      </c>
      <c r="G288" s="11" t="s">
        <v>188</v>
      </c>
      <c r="H288" s="1">
        <v>12</v>
      </c>
      <c r="I288" s="1">
        <v>68</v>
      </c>
      <c r="L288" t="s">
        <v>154</v>
      </c>
      <c r="M288" t="str">
        <f>CONCATENATE("(","'",TEXT(A288,"dd.m.rrrrr"),"'",L288,"'",B288,"'",L288,"'",C288,"'",L288,"'",D288,"'",L288,"'",E288,"'",L288,"'",F288,"'",L288,"'",G288,"'",L288,"'",H288,"'",L288,"'",I288,"'",")")</f>
        <v>('27.2.2022', '52', '57 th round', 'VIT', 'Sunday', 'Home', '4:2', '12', '68')</v>
      </c>
      <c r="W288" t="str">
        <f t="shared" si="4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</v>
      </c>
    </row>
    <row r="289" spans="1:23" x14ac:dyDescent="0.25">
      <c r="A289" s="2">
        <v>44621</v>
      </c>
      <c r="B289" s="1">
        <v>53</v>
      </c>
      <c r="C289" s="1" t="s">
        <v>131</v>
      </c>
      <c r="D289" s="1" t="s">
        <v>2</v>
      </c>
      <c r="E289" s="1" t="s">
        <v>59</v>
      </c>
      <c r="F289" s="1" t="s">
        <v>157</v>
      </c>
      <c r="G289" s="3" t="s">
        <v>32</v>
      </c>
      <c r="H289" s="1">
        <v>11</v>
      </c>
      <c r="I289" s="1">
        <v>70</v>
      </c>
      <c r="L289" t="s">
        <v>154</v>
      </c>
      <c r="M289" t="str">
        <f>CONCATENATE("(","'",TEXT(A289,"dd.m.rrrrr"),"'",L289,"'",B289,"'",L289,"'",C289,"'",L289,"'",D289,"'",L289,"'",E289,"'",L289,"'",F289,"'",L289,"'",G289,"'",L289,"'",H289,"'",L289,"'",I289,"'",")")</f>
        <v>('01.3.2022', '53', '43 th round', 'HRK', 'Tuesday', 'Home', '3:2sn', '11', '70')</v>
      </c>
      <c r="W289" t="str">
        <f t="shared" si="4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</v>
      </c>
    </row>
    <row r="290" spans="1:23" x14ac:dyDescent="0.25">
      <c r="A290" s="2">
        <v>44624</v>
      </c>
      <c r="B290" s="1">
        <v>54</v>
      </c>
      <c r="C290" s="1" t="s">
        <v>146</v>
      </c>
      <c r="D290" s="1" t="s">
        <v>2</v>
      </c>
      <c r="E290" s="1" t="s">
        <v>55</v>
      </c>
      <c r="F290" s="1" t="s">
        <v>155</v>
      </c>
      <c r="G290" s="11" t="s">
        <v>163</v>
      </c>
      <c r="H290" s="1">
        <v>12</v>
      </c>
      <c r="I290" s="1">
        <v>70</v>
      </c>
      <c r="L290" t="s">
        <v>154</v>
      </c>
      <c r="M290" t="str">
        <f>CONCATENATE("(","'",TEXT(A290,"dd.m.rrrrr"),"'",L290,"'",B290,"'",L290,"'",C290,"'",L290,"'",D290,"'",L290,"'",E290,"'",L290,"'",F290,"'",L290,"'",G290,"'",L290,"'",H290,"'",L290,"'",I290,"'",")")</f>
        <v>('04.3.2022', '54', '58 th round', 'HRK', 'Friday', 'Away', '0:3', '12', '70')</v>
      </c>
      <c r="W290" t="str">
        <f t="shared" si="4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</v>
      </c>
    </row>
    <row r="291" spans="1:23" x14ac:dyDescent="0.25">
      <c r="A291" s="2">
        <v>44626</v>
      </c>
      <c r="B291" s="1">
        <v>55</v>
      </c>
      <c r="C291" s="1" t="s">
        <v>147</v>
      </c>
      <c r="D291" s="1" t="s">
        <v>4</v>
      </c>
      <c r="E291" s="1" t="s">
        <v>57</v>
      </c>
      <c r="F291" s="1" t="s">
        <v>157</v>
      </c>
      <c r="G291" s="11" t="s">
        <v>174</v>
      </c>
      <c r="H291" s="1">
        <v>12</v>
      </c>
      <c r="I291" s="1">
        <v>70</v>
      </c>
      <c r="L291" t="s">
        <v>154</v>
      </c>
      <c r="M291" t="str">
        <f>CONCATENATE("(","'",TEXT(A291,"dd.m.rrrrr"),"'",L291,"'",B291,"'",L291,"'",C291,"'",L291,"'",D291,"'",L291,"'",E291,"'",L291,"'",F291,"'",L291,"'",G291,"'",L291,"'",H291,"'",L291,"'",I291,"'",")")</f>
        <v>('06.3.2022', '55', '59 th round', 'OLO', 'Sunday', 'Home', '2:3', '12', '70')</v>
      </c>
      <c r="W291" t="str">
        <f t="shared" si="4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</v>
      </c>
    </row>
    <row r="292" spans="1:23" x14ac:dyDescent="0.25">
      <c r="A292" s="2">
        <v>44628</v>
      </c>
      <c r="B292" s="1">
        <v>56</v>
      </c>
      <c r="C292" s="1" t="s">
        <v>148</v>
      </c>
      <c r="D292" s="1" t="s">
        <v>27</v>
      </c>
      <c r="E292" s="1" t="s">
        <v>59</v>
      </c>
      <c r="F292" s="1" t="s">
        <v>155</v>
      </c>
      <c r="G292" s="11" t="s">
        <v>168</v>
      </c>
      <c r="H292" s="1">
        <v>13</v>
      </c>
      <c r="I292" s="1">
        <v>70</v>
      </c>
      <c r="L292" t="s">
        <v>154</v>
      </c>
      <c r="M292" t="str">
        <f>CONCATENATE("(","'",TEXT(A292,"dd.m.rrrrr"),"'",L292,"'",B292,"'",L292,"'",C292,"'",L292,"'",D292,"'",L292,"'",E292,"'",L292,"'",F292,"'",L292,"'",G292,"'",L292,"'",H292,"'",L292,"'",I292,"'",")")</f>
        <v>('08.3.2022', '56', '60 th round', 'KVA', 'Tuesday', 'Away', '1:3', '13', '70')</v>
      </c>
      <c r="W292" t="str">
        <f t="shared" si="4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</v>
      </c>
    </row>
    <row r="293" spans="1:23" x14ac:dyDescent="0.25">
      <c r="A293" s="2">
        <v>44820</v>
      </c>
      <c r="B293" s="1">
        <v>1</v>
      </c>
      <c r="C293" s="1" t="s">
        <v>64</v>
      </c>
      <c r="D293" s="1" t="s">
        <v>10</v>
      </c>
      <c r="E293" s="1" t="s">
        <v>55</v>
      </c>
      <c r="F293" s="1" t="s">
        <v>157</v>
      </c>
      <c r="G293" s="11" t="s">
        <v>174</v>
      </c>
      <c r="H293" s="1">
        <v>10</v>
      </c>
      <c r="I293" s="1">
        <v>0</v>
      </c>
      <c r="L293" t="s">
        <v>154</v>
      </c>
      <c r="M293" t="str">
        <f>CONCATENATE("(","'",TEXT(A293,"dd.m.rrrrr"),"'",L293,"'",B293,"'",L293,"'",C293,"'",L293,"'",D293,"'",L293,"'",E293,"'",L293,"'",F293,"'",L293,"'",G293,"'",L293,"'",H293,"'",L293,"'",I293,"'",")")</f>
        <v>('16.9.2022', '1', '1st round', 'VIT', 'Friday', 'Home', '2:3', '10', '0')</v>
      </c>
      <c r="W293" t="str">
        <f t="shared" si="4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</v>
      </c>
    </row>
    <row r="294" spans="1:23" x14ac:dyDescent="0.25">
      <c r="A294" s="2">
        <v>44822</v>
      </c>
      <c r="B294" s="1">
        <v>2</v>
      </c>
      <c r="C294" s="1" t="s">
        <v>65</v>
      </c>
      <c r="D294" s="1" t="s">
        <v>3</v>
      </c>
      <c r="E294" s="1" t="s">
        <v>57</v>
      </c>
      <c r="F294" s="1" t="s">
        <v>155</v>
      </c>
      <c r="G294" s="11" t="s">
        <v>163</v>
      </c>
      <c r="H294" s="1">
        <v>13</v>
      </c>
      <c r="I294" s="1">
        <v>0</v>
      </c>
      <c r="L294" t="s">
        <v>154</v>
      </c>
      <c r="M294" t="str">
        <f>CONCATENATE("(","'",TEXT(A294,"dd.m.rrrrr"),"'",L294,"'",B294,"'",L294,"'",C294,"'",L294,"'",D294,"'",L294,"'",E294,"'",L294,"'",F294,"'",L294,"'",G294,"'",L294,"'",H294,"'",L294,"'",I294,"'",")")</f>
        <v>('18.9.2022', '2', '2nd round', 'SPA', 'Sunday', 'Away', '0:3', '13', '0')</v>
      </c>
      <c r="W294" t="str">
        <f t="shared" si="4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</v>
      </c>
    </row>
    <row r="295" spans="1:23" x14ac:dyDescent="0.25">
      <c r="A295" s="2">
        <v>44824</v>
      </c>
      <c r="B295" s="1">
        <v>3</v>
      </c>
      <c r="C295" s="1" t="s">
        <v>92</v>
      </c>
      <c r="D295" s="1" t="s">
        <v>36</v>
      </c>
      <c r="E295" s="1" t="s">
        <v>59</v>
      </c>
      <c r="F295" s="1" t="s">
        <v>155</v>
      </c>
      <c r="G295" s="11" t="s">
        <v>183</v>
      </c>
      <c r="H295" s="6">
        <v>14</v>
      </c>
      <c r="I295" s="1">
        <v>0</v>
      </c>
      <c r="L295" t="s">
        <v>154</v>
      </c>
      <c r="M295" t="str">
        <f>CONCATENATE("(","'",TEXT(A295,"dd.m.rrrrr"),"'",L295,"'",B295,"'",L295,"'",C295,"'",L295,"'",D295,"'",L295,"'",E295,"'",L295,"'",F295,"'",L295,"'",G295,"'",L295,"'",H295,"'",L295,"'",I295,"'",")")</f>
        <v>('20.9.2022', '3', '4 th round', 'BUD', 'Tuesday', 'Away', '3:6', '14', '0')</v>
      </c>
      <c r="W295" t="str">
        <f t="shared" si="4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</v>
      </c>
    </row>
    <row r="296" spans="1:23" x14ac:dyDescent="0.25">
      <c r="A296" s="2">
        <v>44827</v>
      </c>
      <c r="B296" s="1">
        <v>4</v>
      </c>
      <c r="C296" s="1" t="s">
        <v>66</v>
      </c>
      <c r="D296" s="1" t="s">
        <v>1</v>
      </c>
      <c r="E296" s="1" t="s">
        <v>55</v>
      </c>
      <c r="F296" s="1" t="s">
        <v>157</v>
      </c>
      <c r="G296" s="3" t="s">
        <v>16</v>
      </c>
      <c r="H296" s="1">
        <v>13</v>
      </c>
      <c r="I296" s="1">
        <v>1</v>
      </c>
      <c r="L296" t="s">
        <v>154</v>
      </c>
      <c r="M296" t="str">
        <f>CONCATENATE("(","'",TEXT(A296,"dd.m.rrrrr"),"'",L296,"'",B296,"'",L296,"'",C296,"'",L296,"'",D296,"'",L296,"'",E296,"'",L296,"'",F296,"'",L296,"'",G296,"'",L296,"'",H296,"'",L296,"'",I296,"'",")")</f>
        <v>('23.9.2022', '4', '3rd round', 'LIB', 'Friday', 'Home', '2:3sn', '13', '1')</v>
      </c>
      <c r="W296" t="str">
        <f t="shared" si="4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</v>
      </c>
    </row>
    <row r="297" spans="1:23" x14ac:dyDescent="0.25">
      <c r="A297" s="2">
        <v>44831</v>
      </c>
      <c r="B297" s="1">
        <v>5</v>
      </c>
      <c r="C297" s="1" t="s">
        <v>93</v>
      </c>
      <c r="D297" s="1" t="s">
        <v>28</v>
      </c>
      <c r="E297" s="1" t="s">
        <v>59</v>
      </c>
      <c r="F297" s="1" t="s">
        <v>157</v>
      </c>
      <c r="G297" s="3" t="s">
        <v>37</v>
      </c>
      <c r="H297" s="6">
        <v>14</v>
      </c>
      <c r="I297" s="1">
        <v>2</v>
      </c>
      <c r="L297" t="s">
        <v>154</v>
      </c>
      <c r="M297" t="str">
        <f>CONCATENATE("(","'",TEXT(A297,"dd.m.rrrrr"),"'",L297,"'",B297,"'",L297,"'",C297,"'",L297,"'",D297,"'",L297,"'",E297,"'",L297,"'",F297,"'",L297,"'",G297,"'",L297,"'",H297,"'",L297,"'",I297,"'",")")</f>
        <v>('27.9.2022', '5', '5 th round', 'KLA', 'Tuesday', 'Home', '1:2pp', '14', '2')</v>
      </c>
      <c r="W297" t="str">
        <f t="shared" si="4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</v>
      </c>
    </row>
    <row r="298" spans="1:23" x14ac:dyDescent="0.25">
      <c r="A298" s="2">
        <v>44836</v>
      </c>
      <c r="B298" s="1">
        <v>6</v>
      </c>
      <c r="C298" s="1" t="s">
        <v>95</v>
      </c>
      <c r="D298" s="1" t="s">
        <v>2</v>
      </c>
      <c r="E298" s="1" t="s">
        <v>57</v>
      </c>
      <c r="F298" s="1" t="s">
        <v>157</v>
      </c>
      <c r="G298" s="11" t="s">
        <v>180</v>
      </c>
      <c r="H298" s="6">
        <v>14</v>
      </c>
      <c r="I298" s="1">
        <v>5</v>
      </c>
      <c r="L298" t="s">
        <v>154</v>
      </c>
      <c r="M298" t="str">
        <f>CONCATENATE("(","'",TEXT(A298,"dd.m.rrrrr"),"'",L298,"'",B298,"'",L298,"'",C298,"'",L298,"'",D298,"'",L298,"'",E298,"'",L298,"'",F298,"'",L298,"'",G298,"'",L298,"'",H298,"'",L298,"'",I298,"'",")")</f>
        <v>('02.10.2022', '6', '7 th round', 'HRK', 'Sunday', 'Home', '3:2', '14', '5')</v>
      </c>
      <c r="W298" t="str">
        <f t="shared" si="4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</v>
      </c>
    </row>
    <row r="299" spans="1:23" x14ac:dyDescent="0.25">
      <c r="A299" s="2">
        <v>44838</v>
      </c>
      <c r="B299" s="1">
        <v>7</v>
      </c>
      <c r="C299" s="1" t="s">
        <v>94</v>
      </c>
      <c r="D299" s="1" t="s">
        <v>27</v>
      </c>
      <c r="E299" s="1" t="s">
        <v>59</v>
      </c>
      <c r="F299" s="1" t="s">
        <v>155</v>
      </c>
      <c r="G299" s="11" t="s">
        <v>187</v>
      </c>
      <c r="H299" s="1">
        <v>12</v>
      </c>
      <c r="I299" s="1">
        <v>8</v>
      </c>
      <c r="L299" t="s">
        <v>154</v>
      </c>
      <c r="M299" t="str">
        <f>CONCATENATE("(","'",TEXT(A299,"dd.m.rrrrr"),"'",L299,"'",B299,"'",L299,"'",C299,"'",L299,"'",D299,"'",L299,"'",E299,"'",L299,"'",F299,"'",L299,"'",G299,"'",L299,"'",H299,"'",L299,"'",I299,"'",")")</f>
        <v>('04.10.2022', '7', '6 th round', 'KVA', 'Tuesday', 'Away', '4:1', '12', '8')</v>
      </c>
      <c r="W299" t="str">
        <f t="shared" si="4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</v>
      </c>
    </row>
    <row r="300" spans="1:23" x14ac:dyDescent="0.25">
      <c r="A300" s="2">
        <v>44841</v>
      </c>
      <c r="B300" s="1">
        <v>8</v>
      </c>
      <c r="C300" s="1" t="s">
        <v>96</v>
      </c>
      <c r="D300" s="1" t="s">
        <v>11</v>
      </c>
      <c r="E300" s="1" t="s">
        <v>55</v>
      </c>
      <c r="F300" s="1" t="s">
        <v>155</v>
      </c>
      <c r="G300" s="11" t="s">
        <v>190</v>
      </c>
      <c r="H300" s="1">
        <v>13</v>
      </c>
      <c r="I300" s="1">
        <v>8</v>
      </c>
      <c r="L300" t="s">
        <v>154</v>
      </c>
      <c r="M300" t="str">
        <f>CONCATENATE("(","'",TEXT(A300,"dd.m.rrrrr"),"'",L300,"'",B300,"'",L300,"'",C300,"'",L300,"'",D300,"'",L300,"'",E300,"'",L300,"'",F300,"'",L300,"'",G300,"'",L300,"'",H300,"'",L300,"'",I300,"'",")")</f>
        <v>('07.10.2022', '8', '8 th round', 'BRN', 'Friday', 'Away', '4:5', '13', '8')</v>
      </c>
      <c r="W300" t="str">
        <f t="shared" si="4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</v>
      </c>
    </row>
    <row r="301" spans="1:23" x14ac:dyDescent="0.25">
      <c r="A301" s="2">
        <v>44843</v>
      </c>
      <c r="B301" s="1">
        <v>9</v>
      </c>
      <c r="C301" s="1" t="s">
        <v>97</v>
      </c>
      <c r="D301" s="1" t="s">
        <v>6</v>
      </c>
      <c r="E301" s="1" t="s">
        <v>57</v>
      </c>
      <c r="F301" s="1" t="s">
        <v>155</v>
      </c>
      <c r="G301" s="11" t="s">
        <v>169</v>
      </c>
      <c r="H301" s="6">
        <v>14</v>
      </c>
      <c r="I301" s="1">
        <v>8</v>
      </c>
      <c r="L301" t="s">
        <v>154</v>
      </c>
      <c r="M301" t="str">
        <f>CONCATENATE("(","'",TEXT(A301,"dd.m.rrrrr"),"'",L301,"'",B301,"'",L301,"'",C301,"'",L301,"'",D301,"'",L301,"'",E301,"'",L301,"'",F301,"'",L301,"'",G301,"'",L301,"'",H301,"'",L301,"'",I301,"'",")")</f>
        <v>('09.10.2022', '9', '9 th round', 'TRI', 'Sunday', 'Away', '1:4', '14', '8')</v>
      </c>
      <c r="W301" t="str">
        <f t="shared" si="4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</v>
      </c>
    </row>
    <row r="302" spans="1:23" x14ac:dyDescent="0.25">
      <c r="A302" s="2">
        <v>44848</v>
      </c>
      <c r="B302" s="1">
        <v>10</v>
      </c>
      <c r="C302" s="1" t="s">
        <v>98</v>
      </c>
      <c r="D302" s="1" t="s">
        <v>7</v>
      </c>
      <c r="E302" s="1" t="s">
        <v>55</v>
      </c>
      <c r="F302" s="1" t="s">
        <v>157</v>
      </c>
      <c r="G302" s="11" t="s">
        <v>181</v>
      </c>
      <c r="H302" s="6">
        <v>14</v>
      </c>
      <c r="I302" s="1">
        <v>8</v>
      </c>
      <c r="L302" t="s">
        <v>154</v>
      </c>
      <c r="M302" t="str">
        <f>CONCATENATE("(","'",TEXT(A302,"dd.m.rrrrr"),"'",L302,"'",B302,"'",L302,"'",C302,"'",L302,"'",D302,"'",L302,"'",E302,"'",L302,"'",F302,"'",L302,"'",G302,"'",L302,"'",H302,"'",L302,"'",I302,"'",")")</f>
        <v>('14.10.2022', '10', '10 th round', 'MBO', 'Friday', 'Home', '3:4', '14', '8')</v>
      </c>
      <c r="W302" t="str">
        <f t="shared" si="4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</v>
      </c>
    </row>
    <row r="303" spans="1:23" x14ac:dyDescent="0.25">
      <c r="A303" s="2">
        <v>44850</v>
      </c>
      <c r="B303" s="1">
        <v>11</v>
      </c>
      <c r="C303" s="1" t="s">
        <v>99</v>
      </c>
      <c r="D303" s="1" t="s">
        <v>0</v>
      </c>
      <c r="E303" s="1" t="s">
        <v>57</v>
      </c>
      <c r="F303" s="1" t="s">
        <v>155</v>
      </c>
      <c r="G303" s="11" t="s">
        <v>181</v>
      </c>
      <c r="H303" s="6">
        <v>14</v>
      </c>
      <c r="I303" s="1">
        <v>8</v>
      </c>
      <c r="L303" t="s">
        <v>154</v>
      </c>
      <c r="M303" t="str">
        <f>CONCATENATE("(","'",TEXT(A303,"dd.m.rrrrr"),"'",L303,"'",B303,"'",L303,"'",C303,"'",L303,"'",D303,"'",L303,"'",E303,"'",L303,"'",F303,"'",L303,"'",G303,"'",L303,"'",H303,"'",L303,"'",I303,"'",")")</f>
        <v>('16.10.2022', '11', '11 th round', 'PLZ', 'Sunday', 'Away', '3:4', '14', '8')</v>
      </c>
      <c r="W303" t="str">
        <f t="shared" si="4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</v>
      </c>
    </row>
    <row r="304" spans="1:23" x14ac:dyDescent="0.25">
      <c r="A304" s="2">
        <v>44852</v>
      </c>
      <c r="B304" s="1">
        <v>12</v>
      </c>
      <c r="C304" s="1" t="s">
        <v>100</v>
      </c>
      <c r="D304" s="1" t="s">
        <v>9</v>
      </c>
      <c r="E304" s="1" t="s">
        <v>59</v>
      </c>
      <c r="F304" s="1" t="s">
        <v>157</v>
      </c>
      <c r="G304" s="3" t="s">
        <v>13</v>
      </c>
      <c r="H304" s="6">
        <v>14</v>
      </c>
      <c r="I304" s="1">
        <v>9</v>
      </c>
      <c r="L304" t="s">
        <v>154</v>
      </c>
      <c r="M304" t="str">
        <f>CONCATENATE("(","'",TEXT(A304,"dd.m.rrrrr"),"'",L304,"'",B304,"'",L304,"'",C304,"'",L304,"'",D304,"'",L304,"'",E304,"'",L304,"'",F304,"'",L304,"'",G304,"'",L304,"'",H304,"'",L304,"'",I304,"'",")")</f>
        <v>('18.10.2022', '12', '12 th round', 'PAR', 'Tuesday', 'Home', '0:1sn', '14', '9')</v>
      </c>
      <c r="W304" t="str">
        <f t="shared" si="4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</v>
      </c>
    </row>
    <row r="305" spans="1:23" x14ac:dyDescent="0.25">
      <c r="A305" s="2">
        <v>44855</v>
      </c>
      <c r="B305" s="1">
        <v>13</v>
      </c>
      <c r="C305" s="1" t="s">
        <v>101</v>
      </c>
      <c r="D305" s="1" t="s">
        <v>4</v>
      </c>
      <c r="E305" s="1" t="s">
        <v>55</v>
      </c>
      <c r="F305" s="1" t="s">
        <v>155</v>
      </c>
      <c r="G305" s="11" t="s">
        <v>182</v>
      </c>
      <c r="H305" s="6">
        <v>14</v>
      </c>
      <c r="I305" s="4">
        <v>9</v>
      </c>
      <c r="L305" t="s">
        <v>154</v>
      </c>
      <c r="M305" t="str">
        <f>CONCATENATE("(","'",TEXT(A305,"dd.m.rrrrr"),"'",L305,"'",B305,"'",L305,"'",C305,"'",L305,"'",D305,"'",L305,"'",E305,"'",L305,"'",F305,"'",L305,"'",G305,"'",L305,"'",H305,"'",L305,"'",I305,"'",")")</f>
        <v>('21.10.2022', '13', '13 th round', 'OLO', 'Friday', 'Away', '3:5', '14', '9')</v>
      </c>
      <c r="W305" t="str">
        <f t="shared" si="4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</v>
      </c>
    </row>
    <row r="306" spans="1:23" x14ac:dyDescent="0.25">
      <c r="A306" s="2">
        <v>44857</v>
      </c>
      <c r="B306" s="1">
        <v>14</v>
      </c>
      <c r="C306" s="1" t="s">
        <v>102</v>
      </c>
      <c r="D306" s="1" t="s">
        <v>10</v>
      </c>
      <c r="E306" s="1" t="s">
        <v>57</v>
      </c>
      <c r="F306" s="1" t="s">
        <v>155</v>
      </c>
      <c r="G306" s="11" t="s">
        <v>182</v>
      </c>
      <c r="H306" s="6">
        <v>14</v>
      </c>
      <c r="I306" s="1">
        <v>9</v>
      </c>
      <c r="L306" t="s">
        <v>154</v>
      </c>
      <c r="M306" t="str">
        <f>CONCATENATE("(","'",TEXT(A306,"dd.m.rrrrr"),"'",L306,"'",B306,"'",L306,"'",C306,"'",L306,"'",D306,"'",L306,"'",E306,"'",L306,"'",F306,"'",L306,"'",G306,"'",L306,"'",H306,"'",L306,"'",I306,"'",")")</f>
        <v>('23.10.2022', '14', '14 th round', 'VIT', 'Sunday', 'Away', '3:5', '14', '9')</v>
      </c>
      <c r="W306" t="str">
        <f t="shared" si="4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</v>
      </c>
    </row>
    <row r="307" spans="1:23" x14ac:dyDescent="0.25">
      <c r="A307" s="2">
        <v>44862</v>
      </c>
      <c r="B307" s="1">
        <v>15</v>
      </c>
      <c r="C307" s="1" t="s">
        <v>103</v>
      </c>
      <c r="D307" s="1" t="s">
        <v>3</v>
      </c>
      <c r="E307" s="1" t="s">
        <v>55</v>
      </c>
      <c r="F307" s="1" t="s">
        <v>157</v>
      </c>
      <c r="G307" s="11" t="s">
        <v>186</v>
      </c>
      <c r="H307" s="6">
        <v>14</v>
      </c>
      <c r="I307" s="1">
        <v>12</v>
      </c>
      <c r="L307" t="s">
        <v>154</v>
      </c>
      <c r="M307" t="str">
        <f>CONCATENATE("(","'",TEXT(A307,"dd.m.rrrrr"),"'",L307,"'",B307,"'",L307,"'",C307,"'",L307,"'",D307,"'",L307,"'",E307,"'",L307,"'",F307,"'",L307,"'",G307,"'",L307,"'",H307,"'",L307,"'",I307,"'",")")</f>
        <v>('28.10.2022', '15', '15 th round', 'SPA', 'Friday', 'Home', '4:0', '14', '12')</v>
      </c>
      <c r="W307" t="str">
        <f t="shared" si="4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</v>
      </c>
    </row>
    <row r="308" spans="1:23" x14ac:dyDescent="0.25">
      <c r="A308" s="2">
        <v>44864</v>
      </c>
      <c r="B308" s="1">
        <v>16</v>
      </c>
      <c r="C308" s="1" t="s">
        <v>104</v>
      </c>
      <c r="D308" s="1" t="s">
        <v>1</v>
      </c>
      <c r="E308" s="1" t="s">
        <v>57</v>
      </c>
      <c r="F308" s="1" t="s">
        <v>155</v>
      </c>
      <c r="G308" s="3" t="s">
        <v>31</v>
      </c>
      <c r="H308" s="6">
        <v>14</v>
      </c>
      <c r="I308" s="1">
        <v>14</v>
      </c>
      <c r="L308" t="s">
        <v>154</v>
      </c>
      <c r="M308" t="str">
        <f>CONCATENATE("(","'",TEXT(A308,"dd.m.rrrrr"),"'",L308,"'",B308,"'",L308,"'",C308,"'",L308,"'",D308,"'",L308,"'",E308,"'",L308,"'",F308,"'",L308,"'",G308,"'",L308,"'",H308,"'",L308,"'",I308,"'",")")</f>
        <v>('30.10.2022', '16', '16 th round', 'LIB', 'Sunday', 'Away', '3:2pp', '14', '14')</v>
      </c>
      <c r="W308" t="str">
        <f t="shared" si="4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</v>
      </c>
    </row>
    <row r="309" spans="1:23" x14ac:dyDescent="0.25">
      <c r="A309" s="2">
        <v>44866</v>
      </c>
      <c r="B309" s="1">
        <v>17</v>
      </c>
      <c r="C309" s="1" t="s">
        <v>105</v>
      </c>
      <c r="D309" s="1" t="s">
        <v>36</v>
      </c>
      <c r="E309" s="1" t="s">
        <v>59</v>
      </c>
      <c r="F309" s="1" t="s">
        <v>157</v>
      </c>
      <c r="G309" s="11" t="s">
        <v>203</v>
      </c>
      <c r="H309" s="1">
        <v>13</v>
      </c>
      <c r="I309" s="1">
        <v>17</v>
      </c>
      <c r="L309" t="s">
        <v>154</v>
      </c>
      <c r="M309" t="str">
        <f>CONCATENATE("(","'",TEXT(A309,"dd.m.rrrrr"),"'",L309,"'",B309,"'",L309,"'",C309,"'",L309,"'",D309,"'",L309,"'",E309,"'",L309,"'",F309,"'",L309,"'",G309,"'",L309,"'",H309,"'",L309,"'",I309,"'",")")</f>
        <v>('01.11.2022', '17', '17 th round', 'BUD', 'Tuesday', 'Home', '6:4', '13', '17')</v>
      </c>
      <c r="W309" t="str">
        <f t="shared" si="4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</v>
      </c>
    </row>
    <row r="310" spans="1:23" x14ac:dyDescent="0.25">
      <c r="A310" s="2">
        <v>44869</v>
      </c>
      <c r="B310" s="1">
        <v>18</v>
      </c>
      <c r="C310" s="1" t="s">
        <v>106</v>
      </c>
      <c r="D310" s="1" t="s">
        <v>28</v>
      </c>
      <c r="E310" s="1" t="s">
        <v>55</v>
      </c>
      <c r="F310" s="1" t="s">
        <v>155</v>
      </c>
      <c r="G310" s="3" t="s">
        <v>26</v>
      </c>
      <c r="H310" s="6">
        <v>14</v>
      </c>
      <c r="I310" s="1">
        <v>18</v>
      </c>
      <c r="L310" t="s">
        <v>154</v>
      </c>
      <c r="M310" t="str">
        <f>CONCATENATE("(","'",TEXT(A310,"dd.m.rrrrr"),"'",L310,"'",B310,"'",L310,"'",C310,"'",L310,"'",D310,"'",L310,"'",E310,"'",L310,"'",F310,"'",L310,"'",G310,"'",L310,"'",H310,"'",L310,"'",I310,"'",")")</f>
        <v>('04.11.2022', '18', '18 th round', 'KLA', 'Friday', 'Away', '2:3pp', '14', '18')</v>
      </c>
      <c r="W310" t="str">
        <f t="shared" si="4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'17'), ('04.11.2022', '18', '18 th round', 'KLA', 'Friday', 'Away', '2:3pp', '14', '18')</v>
      </c>
    </row>
    <row r="311" spans="1:23" x14ac:dyDescent="0.25">
      <c r="A311" s="2">
        <v>44871</v>
      </c>
      <c r="B311" s="1">
        <v>19</v>
      </c>
      <c r="C311" s="1" t="s">
        <v>107</v>
      </c>
      <c r="D311" s="1" t="s">
        <v>27</v>
      </c>
      <c r="E311" s="1" t="s">
        <v>57</v>
      </c>
      <c r="F311" s="1" t="s">
        <v>157</v>
      </c>
      <c r="G311" s="11" t="s">
        <v>197</v>
      </c>
      <c r="H311" s="1">
        <v>12</v>
      </c>
      <c r="I311" s="1">
        <v>21</v>
      </c>
      <c r="L311" t="s">
        <v>154</v>
      </c>
      <c r="M311" t="str">
        <f>CONCATENATE("(","'",TEXT(A311,"dd.m.rrrrr"),"'",L311,"'",B311,"'",L311,"'",C311,"'",L311,"'",D311,"'",L311,"'",E311,"'",L311,"'",F311,"'",L311,"'",G311,"'",L311,"'",H311,"'",L311,"'",I311,"'",")")</f>
        <v>('06.11.2022', '19', '19 th round', 'KVA', 'Sunday', 'Home', '5:3', '12', '21')</v>
      </c>
      <c r="W311" t="str">
        <f t="shared" si="4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'17'), ('04.11.2022', '18', '18 th round', 'KLA', 'Friday', 'Away', '2:3pp', '14', '18'), ('06.11.2022', '19', '19 th round', 'KVA', 'Sunday', 'Home', '5:3', '12', '21')</v>
      </c>
    </row>
    <row r="312" spans="1:23" x14ac:dyDescent="0.25">
      <c r="A312" s="2">
        <v>44883</v>
      </c>
      <c r="B312" s="1">
        <v>20</v>
      </c>
      <c r="C312" s="1" t="s">
        <v>108</v>
      </c>
      <c r="D312" s="1" t="s">
        <v>2</v>
      </c>
      <c r="E312" s="1" t="s">
        <v>55</v>
      </c>
      <c r="F312" s="1" t="s">
        <v>155</v>
      </c>
      <c r="G312" s="11" t="s">
        <v>163</v>
      </c>
      <c r="H312" s="1">
        <v>13</v>
      </c>
      <c r="I312" s="1">
        <v>21</v>
      </c>
      <c r="L312" t="s">
        <v>154</v>
      </c>
      <c r="M312" t="str">
        <f>CONCATENATE("(","'",TEXT(A312,"dd.m.rrrrr"),"'",L312,"'",B312,"'",L312,"'",C312,"'",L312,"'",D312,"'",L312,"'",E312,"'",L312,"'",F312,"'",L312,"'",G312,"'",L312,"'",H312,"'",L312,"'",I312,"'",")")</f>
        <v>('18.11.2022', '20', '20 th round', 'HRK', 'Friday', 'Away', '0:3', '13', '21')</v>
      </c>
      <c r="W312" t="str">
        <f t="shared" si="4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'17'), ('04.11.2022', '18', '18 th round', 'KLA', 'Friday', 'Away', '2:3pp', '14', '18'), ('06.11.2022', '19', '19 th round', 'KVA', 'Sunday', 'Home', '5:3', '12', '21'), ('18.11.2022', '20', '20 th round', 'HRK', 'Friday', 'Away', '0:3', '13', '21')</v>
      </c>
    </row>
    <row r="313" spans="1:23" x14ac:dyDescent="0.25">
      <c r="A313" s="2">
        <v>44885</v>
      </c>
      <c r="B313" s="1">
        <v>21</v>
      </c>
      <c r="C313" s="1" t="s">
        <v>109</v>
      </c>
      <c r="D313" s="1" t="s">
        <v>11</v>
      </c>
      <c r="E313" s="1" t="s">
        <v>57</v>
      </c>
      <c r="F313" s="1" t="s">
        <v>157</v>
      </c>
      <c r="G313" s="11" t="s">
        <v>195</v>
      </c>
      <c r="H313" s="1">
        <v>11</v>
      </c>
      <c r="I313" s="1">
        <v>24</v>
      </c>
      <c r="L313" t="s">
        <v>154</v>
      </c>
      <c r="M313" t="str">
        <f>CONCATENATE("(","'",TEXT(A313,"dd.m.rrrrr"),"'",L313,"'",B313,"'",L313,"'",C313,"'",L313,"'",D313,"'",L313,"'",E313,"'",L313,"'",F313,"'",L313,"'",G313,"'",L313,"'",H313,"'",L313,"'",I313,"'",")")</f>
        <v>('20.11.2022', '21', '21 th round', 'BRN', 'Sunday', 'Home', '5:1', '11', '24')</v>
      </c>
      <c r="W313" t="str">
        <f t="shared" si="4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'17'), ('04.11.2022', '18', '18 th round', 'KLA', 'Friday', 'Away', '2:3pp', '14', '18'), ('06.11.2022', '19', '19 th round', 'KVA', 'Sunday', 'Home', '5:3', '12', '21'), ('18.11.2022', '20', '20 th round', 'HRK', 'Friday', 'Away', '0:3', '13', '21'), ('20.11.2022', '21', '21 th round', 'BRN', 'Sunday', 'Home', '5:1', '11', '24')</v>
      </c>
    </row>
    <row r="314" spans="1:23" x14ac:dyDescent="0.25">
      <c r="A314" s="2">
        <v>44890</v>
      </c>
      <c r="B314" s="1">
        <v>22</v>
      </c>
      <c r="C314" s="1" t="s">
        <v>110</v>
      </c>
      <c r="D314" s="1" t="s">
        <v>6</v>
      </c>
      <c r="E314" s="1" t="s">
        <v>55</v>
      </c>
      <c r="F314" s="1" t="s">
        <v>157</v>
      </c>
      <c r="G314" s="3" t="s">
        <v>37</v>
      </c>
      <c r="H314" s="1">
        <v>12</v>
      </c>
      <c r="I314" s="1">
        <v>25</v>
      </c>
      <c r="L314" t="s">
        <v>154</v>
      </c>
      <c r="M314" t="str">
        <f>CONCATENATE("(","'",TEXT(A314,"dd.m.rrrrr"),"'",L314,"'",B314,"'",L314,"'",C314,"'",L314,"'",D314,"'",L314,"'",E314,"'",L314,"'",F314,"'",L314,"'",G314,"'",L314,"'",H314,"'",L314,"'",I314,"'",")")</f>
        <v>('25.11.2022', '22', '22 th round', 'TRI', 'Friday', 'Home', '1:2pp', '12', '25')</v>
      </c>
      <c r="W314" t="str">
        <f t="shared" si="4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'17'), ('04.11.2022', '18', '18 th round', 'KLA', 'Friday', 'Away', '2:3pp', '14', '18'), ('06.11.2022', '19', '19 th round', 'KVA', 'Sunday', 'Home', '5:3', '12', '21'), ('18.11.2022', '20', '20 th round', 'HRK', 'Friday', 'Away', '0:3', '13', '21'), ('20.11.2022', '21', '21 th round', 'BRN', 'Sunday', 'Home', '5:1', '11', '24'), ('25.11.2022', '22', '22 th round', 'TRI', 'Friday', 'Home', '1:2pp', '12', '25')</v>
      </c>
    </row>
    <row r="315" spans="1:23" x14ac:dyDescent="0.25">
      <c r="A315" s="2">
        <v>44892</v>
      </c>
      <c r="B315" s="1">
        <v>23</v>
      </c>
      <c r="C315" s="1" t="s">
        <v>111</v>
      </c>
      <c r="D315" s="1" t="s">
        <v>7</v>
      </c>
      <c r="E315" s="1" t="s">
        <v>57</v>
      </c>
      <c r="F315" s="1" t="s">
        <v>155</v>
      </c>
      <c r="G315" s="11" t="s">
        <v>191</v>
      </c>
      <c r="H315" s="1">
        <v>12</v>
      </c>
      <c r="I315" s="1">
        <v>25</v>
      </c>
      <c r="L315" t="s">
        <v>154</v>
      </c>
      <c r="M315" t="str">
        <f>CONCATENATE("(","'",TEXT(A315,"dd.m.rrrrr"),"'",L315,"'",B315,"'",L315,"'",C315,"'",L315,"'",D315,"'",L315,"'",E315,"'",L315,"'",F315,"'",L315,"'",G315,"'",L315,"'",H315,"'",L315,"'",I315,"'",")")</f>
        <v>('27.11.2022', '23', '23 th round', 'MBO', 'Sunday', 'Away', '4:6', '12', '25')</v>
      </c>
      <c r="W315" t="str">
        <f t="shared" si="4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'17'), ('04.11.2022', '18', '18 th round', 'KLA', 'Friday', 'Away', '2:3pp', '14', '18'), ('06.11.2022', '19', '19 th round', 'KVA', 'Sunday', 'Home', '5:3', '12', '21'), ('18.11.2022', '20', '20 th round', 'HRK', 'Friday', 'Away', '0:3', '13', '21'), ('20.11.2022', '21', '21 th round', 'BRN', 'Sunday', 'Home', '5:1', '11', '24'), ('25.11.2022', '22', '22 th round', 'TRI', 'Friday', 'Home', '1:2pp', '12', '25'), ('27.11.2022', '23', '23 th round', 'MBO', 'Sunday', 'Away', '4:6', '12', '25')</v>
      </c>
    </row>
    <row r="316" spans="1:23" x14ac:dyDescent="0.25">
      <c r="A316" s="2">
        <v>44894</v>
      </c>
      <c r="B316" s="1">
        <v>24</v>
      </c>
      <c r="C316" s="1" t="s">
        <v>112</v>
      </c>
      <c r="D316" s="1" t="s">
        <v>0</v>
      </c>
      <c r="E316" s="1" t="s">
        <v>59</v>
      </c>
      <c r="F316" s="1" t="s">
        <v>157</v>
      </c>
      <c r="G316" s="11" t="s">
        <v>175</v>
      </c>
      <c r="H316" s="9">
        <v>12</v>
      </c>
      <c r="I316" s="1">
        <v>25</v>
      </c>
      <c r="L316" t="s">
        <v>154</v>
      </c>
      <c r="M316" t="str">
        <f>CONCATENATE("(","'",TEXT(A316,"dd.m.rrrrr"),"'",L316,"'",B316,"'",L316,"'",C316,"'",L316,"'",D316,"'",L316,"'",E316,"'",L316,"'",F316,"'",L316,"'",G316,"'",L316,"'",H316,"'",L316,"'",I316,"'",")")</f>
        <v>('29.11.2022', '24', '24 th round', 'PLZ', 'Tuesday', 'Home', '2:4', '12', '25')</v>
      </c>
      <c r="W316" t="str">
        <f t="shared" si="4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'17'), ('04.11.2022', '18', '18 th round', 'KLA', 'Friday', 'Away', '2:3pp', '14', '18'), ('06.11.2022', '19', '19 th round', 'KVA', 'Sunday', 'Home', '5:3', '12', '21'), ('18.11.2022', '20', '20 th round', 'HRK', 'Friday', 'Away', '0:3', '13', '21'), ('20.11.2022', '21', '21 th round', 'BRN', 'Sunday', 'Home', '5:1', '11', '24'), ('25.11.2022', '22', '22 th round', 'TRI', 'Friday', 'Home', '1:2pp', '12', '25'), ('27.11.2022', '23', '23 th round', 'MBO', 'Sunday', 'Away', '4:6', '12', '25'), ('29.11.2022', '24', '24 th round', 'PLZ', 'Tuesday', 'Home', '2:4', '12', '25')</v>
      </c>
    </row>
    <row r="317" spans="1:23" x14ac:dyDescent="0.25">
      <c r="A317" s="2">
        <v>44899</v>
      </c>
      <c r="B317" s="1">
        <v>25</v>
      </c>
      <c r="C317" s="1" t="s">
        <v>114</v>
      </c>
      <c r="D317" s="1" t="s">
        <v>4</v>
      </c>
      <c r="E317" s="1" t="s">
        <v>57</v>
      </c>
      <c r="F317" s="1" t="s">
        <v>157</v>
      </c>
      <c r="G317" s="11" t="s">
        <v>197</v>
      </c>
      <c r="H317" s="9">
        <v>12</v>
      </c>
      <c r="I317" s="1">
        <v>28</v>
      </c>
      <c r="L317" t="s">
        <v>154</v>
      </c>
      <c r="M317" t="str">
        <f>CONCATENATE("(","'",TEXT(A317,"dd.m.rrrrr"),"'",L317,"'",B317,"'",L317,"'",C317,"'",L317,"'",D317,"'",L317,"'",E317,"'",L317,"'",F317,"'",L317,"'",G317,"'",L317,"'",H317,"'",L317,"'",I317,"'",")")</f>
        <v>('04.12.2022', '25', '26 th round', 'OLO', 'Sunday', 'Home', '5:3', '12', '28')</v>
      </c>
      <c r="W317" t="str">
        <f t="shared" si="4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'17'), ('04.11.2022', '18', '18 th round', 'KLA', 'Friday', 'Away', '2:3pp', '14', '18'), ('06.11.2022', '19', '19 th round', 'KVA', 'Sunday', 'Home', '5:3', '12', '21'), ('18.11.2022', '20', '20 th round', 'HRK', 'Friday', 'Away', '0:3', '13', '21'), ('20.11.2022', '21', '21 th round', 'BRN', 'Sunday', 'Home', '5:1', '11', '24'), ('25.11.2022', '22', '22 th round', 'TRI', 'Friday', 'Home', '1:2pp', '12', '25'), ('27.11.2022', '23', '23 th round', 'MBO', 'Sunday', 'Away', '4:6', '12', '25'), ('29.11.2022', '24', '24 th round', 'PLZ', 'Tuesday', 'Home', '2:4', '12', '25'), ('04.12.2022', '25', '26 th round', 'OLO', 'Sunday', 'Home', '5:3', '12', '28')</v>
      </c>
    </row>
    <row r="318" spans="1:23" x14ac:dyDescent="0.25">
      <c r="A318" s="2">
        <v>44901</v>
      </c>
      <c r="B318" s="1">
        <v>26</v>
      </c>
      <c r="C318" s="1" t="s">
        <v>113</v>
      </c>
      <c r="D318" s="1" t="s">
        <v>9</v>
      </c>
      <c r="E318" s="1" t="s">
        <v>59</v>
      </c>
      <c r="F318" s="1" t="s">
        <v>155</v>
      </c>
      <c r="G318" s="11" t="s">
        <v>161</v>
      </c>
      <c r="H318" s="4">
        <v>12</v>
      </c>
      <c r="I318" s="4">
        <v>28</v>
      </c>
      <c r="L318" t="s">
        <v>154</v>
      </c>
      <c r="M318" t="str">
        <f>CONCATENATE("(","'",TEXT(A318,"dd.m.rrrrr"),"'",L318,"'",B318,"'",L318,"'",C318,"'",L318,"'",D318,"'",L318,"'",E318,"'",L318,"'",F318,"'",L318,"'",G318,"'",L318,"'",H318,"'",L318,"'",I318,"'",")")</f>
        <v>('06.12.2022', '26', '25 th round', 'PAR', 'Tuesday', 'Away', '0:1', '12', '28')</v>
      </c>
      <c r="W318" t="str">
        <f t="shared" si="4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'17'), ('04.11.2022', '18', '18 th round', 'KLA', 'Friday', 'Away', '2:3pp', '14', '18'), ('06.11.2022', '19', '19 th round', 'KVA', 'Sunday', 'Home', '5:3', '12', '21'), ('18.11.2022', '20', '20 th round', 'HRK', 'Friday', 'Away', '0:3', '13', '21'), ('20.11.2022', '21', '21 th round', 'BRN', 'Sunday', 'Home', '5:1', '11', '24'), ('25.11.2022', '22', '22 th round', 'TRI', 'Friday', 'Home', '1:2pp', '12', '25'), ('27.11.2022', '23', '23 th round', 'MBO', 'Sunday', 'Away', '4:6', '12', '25'), ('29.11.2022', '24', '24 th round', 'PLZ', 'Tuesday', 'Home', '2:4', '12', '25'), ('04.12.2022', '25', '26 th round', 'OLO', 'Sunday', 'Home', '5:3', '12', '28'), ('06.12.2022', '26', '25 th round', 'PAR', 'Tuesday', 'Away', '0:1', '12', '28')</v>
      </c>
    </row>
    <row r="319" spans="1:23" x14ac:dyDescent="0.25">
      <c r="A319" s="2">
        <v>44904</v>
      </c>
      <c r="B319" s="1">
        <v>27</v>
      </c>
      <c r="C319" s="1" t="s">
        <v>115</v>
      </c>
      <c r="D319" s="1" t="s">
        <v>10</v>
      </c>
      <c r="E319" s="1" t="s">
        <v>55</v>
      </c>
      <c r="F319" s="1" t="s">
        <v>157</v>
      </c>
      <c r="G319" s="11" t="s">
        <v>197</v>
      </c>
      <c r="H319" s="1">
        <v>12</v>
      </c>
      <c r="I319" s="1">
        <v>31</v>
      </c>
      <c r="L319" t="s">
        <v>154</v>
      </c>
      <c r="M319" t="str">
        <f>CONCATENATE("(","'",TEXT(A319,"dd.m.rrrrr"),"'",L319,"'",B319,"'",L319,"'",C319,"'",L319,"'",D319,"'",L319,"'",E319,"'",L319,"'",F319,"'",L319,"'",G319,"'",L319,"'",H319,"'",L319,"'",I319,"'",")")</f>
        <v>('09.12.2022', '27', '27 th round', 'VIT', 'Friday', 'Home', '5:3', '12', '31')</v>
      </c>
      <c r="W319" t="str">
        <f t="shared" si="4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'17'), ('04.11.2022', '18', '18 th round', 'KLA', 'Friday', 'Away', '2:3pp', '14', '18'), ('06.11.2022', '19', '19 th round', 'KVA', 'Sunday', 'Home', '5:3', '12', '21'), ('18.11.2022', '20', '20 th round', 'HRK', 'Friday', 'Away', '0:3', '13', '21'), ('20.11.2022', '21', '21 th round', 'BRN', 'Sunday', 'Home', '5:1', '11', '24'), ('25.11.2022', '22', '22 th round', 'TRI', 'Friday', 'Home', '1:2pp', '12', '25'), ('27.11.2022', '23', '23 th round', 'MBO', 'Sunday', 'Away', '4:6', '12', '25'), ('29.11.2022', '24', '24 th round', 'PLZ', 'Tuesday', 'Home', '2:4', '12', '25'), ('04.12.2022', '25', '26 th round', 'OLO', 'Sunday', 'Home', '5:3', '12', '28'), ('06.12.2022', '26', '25 th round', 'PAR', 'Tuesday', 'Away', '0:1', '12', '28'), ('09.12.2022', '27', '27 th round', 'VIT', 'Friday', 'Home', '5:3', '12', '31')</v>
      </c>
    </row>
    <row r="320" spans="1:23" x14ac:dyDescent="0.25">
      <c r="A320" s="2">
        <v>44906</v>
      </c>
      <c r="B320" s="1">
        <v>28</v>
      </c>
      <c r="C320" s="1" t="s">
        <v>116</v>
      </c>
      <c r="D320" s="1" t="s">
        <v>3</v>
      </c>
      <c r="E320" s="1" t="s">
        <v>57</v>
      </c>
      <c r="F320" s="1" t="s">
        <v>157</v>
      </c>
      <c r="G320" s="11" t="s">
        <v>196</v>
      </c>
      <c r="H320" s="1">
        <v>12</v>
      </c>
      <c r="I320" s="1">
        <v>34</v>
      </c>
      <c r="L320" t="s">
        <v>154</v>
      </c>
      <c r="M320" t="str">
        <f>CONCATENATE("(","'",TEXT(A320,"dd.m.rrrrr"),"'",L320,"'",B320,"'",L320,"'",C320,"'",L320,"'",D320,"'",L320,"'",E320,"'",L320,"'",F320,"'",L320,"'",G320,"'",L320,"'",H320,"'",L320,"'",I320,"'",")")</f>
        <v>('11.12.2022', '28', '28 th round', 'SPA', 'Sunday', 'Home', '5:2', '12', '34')</v>
      </c>
      <c r="W320" t="str">
        <f t="shared" si="4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'17'), ('04.11.2022', '18', '18 th round', 'KLA', 'Friday', 'Away', '2:3pp', '14', '18'), ('06.11.2022', '19', '19 th round', 'KVA', 'Sunday', 'Home', '5:3', '12', '21'), ('18.11.2022', '20', '20 th round', 'HRK', 'Friday', 'Away', '0:3', '13', '21'), ('20.11.2022', '21', '21 th round', 'BRN', 'Sunday', 'Home', '5:1', '11', '24'), ('25.11.2022', '22', '22 th round', 'TRI', 'Friday', 'Home', '1:2pp', '12', '25'), ('27.11.2022', '23', '23 th round', 'MBO', 'Sunday', 'Away', '4:6', '12', '25'), ('29.11.2022', '24', '24 th round', 'PLZ', 'Tuesday', 'Home', '2:4', '12', '25'), ('04.12.2022', '25', '26 th round', 'OLO', 'Sunday', 'Home', '5:3', '12', '28'), ('06.12.2022', '26', '25 th round', 'PAR', 'Tuesday', 'Away', '0:1', '12', '28'), ('09.12.2022', '27', '27 th round', 'VIT', 'Friday', 'Home', '5:3', '12', '31'), ('11.12.2022', '28', '28 th round', 'SPA', 'Sunday', 'Home', '5:2', '12', '34')</v>
      </c>
    </row>
    <row r="321" spans="1:23" x14ac:dyDescent="0.25">
      <c r="A321" s="2">
        <v>44915</v>
      </c>
      <c r="B321" s="1">
        <v>29</v>
      </c>
      <c r="C321" s="1" t="s">
        <v>117</v>
      </c>
      <c r="D321" s="1" t="s">
        <v>1</v>
      </c>
      <c r="E321" s="1" t="s">
        <v>59</v>
      </c>
      <c r="F321" s="1" t="s">
        <v>157</v>
      </c>
      <c r="G321" s="3" t="s">
        <v>32</v>
      </c>
      <c r="H321" s="1">
        <v>11</v>
      </c>
      <c r="I321" s="1">
        <v>36</v>
      </c>
      <c r="L321" t="s">
        <v>154</v>
      </c>
      <c r="M321" t="str">
        <f>CONCATENATE("(","'",TEXT(A321,"dd.m.rrrrr"),"'",L321,"'",B321,"'",L321,"'",C321,"'",L321,"'",D321,"'",L321,"'",E321,"'",L321,"'",F321,"'",L321,"'",G321,"'",L321,"'",H321,"'",L321,"'",I321,"'",")")</f>
        <v>('20.12.2022', '29', '29 th round', 'LIB', 'Tuesday', 'Home', '3:2sn', '11', '36')</v>
      </c>
      <c r="W321" t="str">
        <f t="shared" si="4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'17'), ('04.11.2022', '18', '18 th round', 'KLA', 'Friday', 'Away', '2:3pp', '14', '18'), ('06.11.2022', '19', '19 th round', 'KVA', 'Sunday', 'Home', '5:3', '12', '21'), ('18.11.2022', '20', '20 th round', 'HRK', 'Friday', 'Away', '0:3', '13', '21'), ('20.11.2022', '21', '21 th round', 'BRN', 'Sunday', 'Home', '5:1', '11', '24'), ('25.11.2022', '22', '22 th round', 'TRI', 'Friday', 'Home', '1:2pp', '12', '25'), ('27.11.2022', '23', '23 th round', 'MBO', 'Sunday', 'Away', '4:6', '12', '25'), ('29.11.2022', '24', '24 th round', 'PLZ', 'Tuesday', 'Home', '2:4', '12', '25'), ('04.12.2022', '25', '26 th round', 'OLO', 'Sunday', 'Home', '5:3', '12', '28'), ('06.12.2022', '26', '25 th round', 'PAR', 'Tuesday', 'Away', '0:1', '12', '28'), ('09.12.2022', '27', '27 th round', 'VIT', 'Friday', 'Home', '5:3', '12', '31'), ('11.12.2022', '28', '28 th round', 'SPA', 'Sunday', 'Home', '5:2', '12', '34'), ('20.12.2022', '29', '29 th round', 'LIB', 'Tuesday', 'Home', '3:2sn', '11', '36')</v>
      </c>
    </row>
    <row r="322" spans="1:23" x14ac:dyDescent="0.25">
      <c r="A322" s="2">
        <v>44917</v>
      </c>
      <c r="B322" s="1">
        <v>30</v>
      </c>
      <c r="C322" s="1" t="s">
        <v>118</v>
      </c>
      <c r="D322" s="1" t="s">
        <v>36</v>
      </c>
      <c r="E322" s="1" t="s">
        <v>61</v>
      </c>
      <c r="F322" s="1" t="s">
        <v>155</v>
      </c>
      <c r="G322" s="11" t="s">
        <v>196</v>
      </c>
      <c r="H322" s="1">
        <v>11</v>
      </c>
      <c r="I322" s="1">
        <v>39</v>
      </c>
      <c r="L322" t="s">
        <v>154</v>
      </c>
      <c r="M322" t="str">
        <f>CONCATENATE("(","'",TEXT(A322,"dd.m.rrrrr"),"'",L322,"'",B322,"'",L322,"'",C322,"'",L322,"'",D322,"'",L322,"'",E322,"'",L322,"'",F322,"'",L322,"'",G322,"'",L322,"'",H322,"'",L322,"'",I322,"'",")")</f>
        <v>('22.12.2022', '30', '30 th round', 'BUD', 'Thursday', 'Away', '5:2', '11', '39')</v>
      </c>
      <c r="W322" t="str">
        <f t="shared" si="4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'17'), ('04.11.2022', '18', '18 th round', 'KLA', 'Friday', 'Away', '2:3pp', '14', '18'), ('06.11.2022', '19', '19 th round', 'KVA', 'Sunday', 'Home', '5:3', '12', '21'), ('18.11.2022', '20', '20 th round', 'HRK', 'Friday', 'Away', '0:3', '13', '21'), ('20.11.2022', '21', '21 th round', 'BRN', 'Sunday', 'Home', '5:1', '11', '24'), ('25.11.2022', '22', '22 th round', 'TRI', 'Friday', 'Home', '1:2pp', '12', '25'), ('27.11.2022', '23', '23 th round', 'MBO', 'Sunday', 'Away', '4:6', '12', '25'), ('29.11.2022', '24', '24 th round', 'PLZ', 'Tuesday', 'Home', '2:4', '12', '25'), ('04.12.2022', '25', '26 th round', 'OLO', 'Sunday', 'Home', '5:3', '12', '28'), ('06.12.2022', '26', '25 th round', 'PAR', 'Tuesday', 'Away', '0:1', '12', '28'), ('09.12.2022', '27', '27 th round', 'VIT', 'Friday', 'Home', '5:3', '12', '31'), ('11.12.2022', '28', '28 th round', 'SPA', 'Sunday', 'Home', '5:2', '12', '34'), ('20.12.2022', '29', '29 th round', 'LIB', 'Tuesday', 'Home', '3:2sn', '11', '36'), ('22.12.2022', '30', '30 th round', 'BUD', 'Thursday', 'Away', '5:2', '11', '39')</v>
      </c>
    </row>
    <row r="323" spans="1:23" x14ac:dyDescent="0.25">
      <c r="A323" s="2">
        <v>44921</v>
      </c>
      <c r="B323" s="1">
        <v>31</v>
      </c>
      <c r="C323" s="1" t="s">
        <v>119</v>
      </c>
      <c r="D323" s="1" t="s">
        <v>28</v>
      </c>
      <c r="E323" s="1" t="s">
        <v>58</v>
      </c>
      <c r="F323" s="1" t="s">
        <v>157</v>
      </c>
      <c r="G323" s="11" t="s">
        <v>174</v>
      </c>
      <c r="H323" s="1">
        <v>11</v>
      </c>
      <c r="I323" s="1">
        <v>39</v>
      </c>
      <c r="L323" t="s">
        <v>154</v>
      </c>
      <c r="M323" t="str">
        <f>CONCATENATE("(","'",TEXT(A323,"dd.m.rrrrr"),"'",L323,"'",B323,"'",L323,"'",C323,"'",L323,"'",D323,"'",L323,"'",E323,"'",L323,"'",F323,"'",L323,"'",G323,"'",L323,"'",H323,"'",L323,"'",I323,"'",")")</f>
        <v>('26.12.2022', '31', '31 th round', 'KLA', 'Monday', 'Home', '2:3', '11', '39')</v>
      </c>
      <c r="W323" t="str">
        <f t="shared" si="4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'17'), ('04.11.2022', '18', '18 th round', 'KLA', 'Friday', 'Away', '2:3pp', '14', '18'), ('06.11.2022', '19', '19 th round', 'KVA', 'Sunday', 'Home', '5:3', '12', '21'), ('18.11.2022', '20', '20 th round', 'HRK', 'Friday', 'Away', '0:3', '13', '21'), ('20.11.2022', '21', '21 th round', 'BRN', 'Sunday', 'Home', '5:1', '11', '24'), ('25.11.2022', '22', '22 th round', 'TRI', 'Friday', 'Home', '1:2pp', '12', '25'), ('27.11.2022', '23', '23 th round', 'MBO', 'Sunday', 'Away', '4:6', '12', '25'), ('29.11.2022', '24', '24 th round', 'PLZ', 'Tuesday', 'Home', '2:4', '12', '25'), ('04.12.2022', '25', '26 th round', 'OLO', 'Sunday', 'Home', '5:3', '12', '28'), ('06.12.2022', '26', '25 th round', 'PAR', 'Tuesday', 'Away', '0:1', '12', '28'), ('09.12.2022', '27', '27 th round', 'VIT', 'Friday', 'Home', '5:3', '12', '31'), ('11.12.2022', '28', '28 th round', 'SPA', 'Sunday', 'Home', '5:2', '12', '34'), ('20.12.2022', '29', '29 th round', 'LIB', 'Tuesday', 'Home', '3:2sn', '11', '36'), ('22.12.2022', '30', '30 th round', 'BUD', 'Thursday', 'Away', '5:2', '11', '39'), ('26.12.2022', '31', '31 th round', 'KLA', 'Monday', 'Home', '2:3', '11', '39')</v>
      </c>
    </row>
    <row r="324" spans="1:23" x14ac:dyDescent="0.25">
      <c r="A324" s="2">
        <v>44923</v>
      </c>
      <c r="B324" s="1">
        <v>32</v>
      </c>
      <c r="C324" s="1" t="s">
        <v>120</v>
      </c>
      <c r="D324" s="1" t="s">
        <v>27</v>
      </c>
      <c r="E324" s="1" t="s">
        <v>60</v>
      </c>
      <c r="F324" s="1" t="s">
        <v>155</v>
      </c>
      <c r="G324" s="11" t="s">
        <v>163</v>
      </c>
      <c r="H324" s="1">
        <v>11</v>
      </c>
      <c r="I324" s="1">
        <v>39</v>
      </c>
      <c r="L324" t="s">
        <v>154</v>
      </c>
      <c r="M324" t="str">
        <f>CONCATENATE("(","'",TEXT(A324,"dd.m.rrrrr"),"'",L324,"'",B324,"'",L324,"'",C324,"'",L324,"'",D324,"'",L324,"'",E324,"'",L324,"'",F324,"'",L324,"'",G324,"'",L324,"'",H324,"'",L324,"'",I324,"'",")")</f>
        <v>('28.12.2022', '32', '32 th round', 'KVA', 'Wednesday', 'Away', '0:3', '11', '39')</v>
      </c>
      <c r="W324" t="str">
        <f t="shared" si="4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'17'), ('04.11.2022', '18', '18 th round', 'KLA', 'Friday', 'Away', '2:3pp', '14', '18'), ('06.11.2022', '19', '19 th round', 'KVA', 'Sunday', 'Home', '5:3', '12', '21'), ('18.11.2022', '20', '20 th round', 'HRK', 'Friday', 'Away', '0:3', '13', '21'), ('20.11.2022', '21', '21 th round', 'BRN', 'Sunday', 'Home', '5:1', '11', '24'), ('25.11.2022', '22', '22 th round', 'TRI', 'Friday', 'Home', '1:2pp', '12', '25'), ('27.11.2022', '23', '23 th round', 'MBO', 'Sunday', 'Away', '4:6', '12', '25'), ('29.11.2022', '24', '24 th round', 'PLZ', 'Tuesday', 'Home', '2:4', '12', '25'), ('04.12.2022', '25', '26 th round', 'OLO', 'Sunday', 'Home', '5:3', '12', '28'), ('06.12.2022', '26', '25 th round', 'PAR', 'Tuesday', 'Away', '0:1', '12', '28'), ('09.12.2022', '27', '27 th round', 'VIT', 'Friday', 'Home', '5:3', '12', '31'), ('11.12.2022', '28', '28 th round', 'SPA', 'Sunday', 'Home', '5:2', '12', '34'), ('20.12.2022', '29', '29 th round', 'LIB', 'Tuesday', 'Home', '3:2sn', '11', '36'), ('22.12.2022', '30', '30 th round', 'BUD', 'Thursday', 'Away', '5:2', '11', '39'), ('26.12.2022', '31', '31 th round', 'KLA', 'Monday', 'Home', '2:3', '11', '39'), ('28.12.2022', '32', '32 th round', 'KVA', 'Wednesday', 'Away', '0:3', '11', '39')</v>
      </c>
    </row>
    <row r="325" spans="1:23" x14ac:dyDescent="0.25">
      <c r="A325" s="2">
        <v>44925</v>
      </c>
      <c r="B325" s="1">
        <v>33</v>
      </c>
      <c r="C325" s="1" t="s">
        <v>121</v>
      </c>
      <c r="D325" s="1" t="s">
        <v>2</v>
      </c>
      <c r="E325" s="1" t="s">
        <v>55</v>
      </c>
      <c r="F325" s="7" t="s">
        <v>157</v>
      </c>
      <c r="G325" s="3" t="s">
        <v>26</v>
      </c>
      <c r="H325" s="1">
        <v>11</v>
      </c>
      <c r="I325" s="1">
        <v>40</v>
      </c>
      <c r="L325" t="s">
        <v>154</v>
      </c>
      <c r="M325" t="str">
        <f>CONCATENATE("(","'",TEXT(A325,"dd.m.rrrrr"),"'",L325,"'",B325,"'",L325,"'",C325,"'",L325,"'",D325,"'",L325,"'",E325,"'",L325,"'",F325,"'",L325,"'",G325,"'",L325,"'",H325,"'",L325,"'",I325,"'",")")</f>
        <v>('30.12.2022', '33', '33 th round', 'HRK', 'Friday', 'Home', '2:3pp', '11', '40')</v>
      </c>
      <c r="W325" t="str">
        <f t="shared" ref="W325:W388" si="5">CONCATENATE(W324,", ",M325)</f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'17'), ('04.11.2022', '18', '18 th round', 'KLA', 'Friday', 'Away', '2:3pp', '14', '18'), ('06.11.2022', '19', '19 th round', 'KVA', 'Sunday', 'Home', '5:3', '12', '21'), ('18.11.2022', '20', '20 th round', 'HRK', 'Friday', 'Away', '0:3', '13', '21'), ('20.11.2022', '21', '21 th round', 'BRN', 'Sunday', 'Home', '5:1', '11', '24'), ('25.11.2022', '22', '22 th round', 'TRI', 'Friday', 'Home', '1:2pp', '12', '25'), ('27.11.2022', '23', '23 th round', 'MBO', 'Sunday', 'Away', '4:6', '12', '25'), ('29.11.2022', '24', '24 th round', 'PLZ', 'Tuesday', 'Home', '2:4', '12', '25'), ('04.12.2022', '25', '26 th round', 'OLO', 'Sunday', 'Home', '5:3', '12', '28'), ('06.12.2022', '26', '25 th round', 'PAR', 'Tuesday', 'Away', '0:1', '12', '28'), ('09.12.2022', '27', '27 th round', 'VIT', 'Friday', 'Home', '5:3', '12', '31'), ('11.12.2022', '28', '28 th round', 'SPA', 'Sunday', 'Home', '5:2', '12', '34'), ('20.12.2022', '29', '29 th round', 'LIB', 'Tuesday', 'Home', '3:2sn', '11', '36'), ('22.12.2022', '30', '30 th round', 'BUD', 'Thursday', 'Away', '5:2', '11', '39'), ('26.12.2022', '31', '31 th round', 'KLA', 'Monday', 'Home', '2:3', '11', '39'), ('28.12.2022', '32', '32 th round', 'KVA', 'Wednesday', 'Away', '0:3', '11', '39'), ('30.12.2022', '33', '33 th round', 'HRK', 'Friday', 'Home', '2:3pp', '11', '40')</v>
      </c>
    </row>
    <row r="326" spans="1:23" x14ac:dyDescent="0.25">
      <c r="A326" s="2">
        <v>44929</v>
      </c>
      <c r="B326" s="1">
        <v>34</v>
      </c>
      <c r="C326" s="1" t="s">
        <v>122</v>
      </c>
      <c r="D326" s="1" t="s">
        <v>11</v>
      </c>
      <c r="E326" s="1" t="s">
        <v>59</v>
      </c>
      <c r="F326" s="1" t="s">
        <v>155</v>
      </c>
      <c r="G326" s="11" t="s">
        <v>168</v>
      </c>
      <c r="H326" s="1">
        <v>12</v>
      </c>
      <c r="I326" s="1">
        <v>40</v>
      </c>
      <c r="L326" t="s">
        <v>154</v>
      </c>
      <c r="M326" t="str">
        <f>CONCATENATE("(","'",TEXT(A326,"dd.m.rrrrr"),"'",L326,"'",B326,"'",L326,"'",C326,"'",L326,"'",D326,"'",L326,"'",E326,"'",L326,"'",F326,"'",L326,"'",G326,"'",L326,"'",H326,"'",L326,"'",I326,"'",")")</f>
        <v>('03.1.2023', '34', '34 th round', 'BRN', 'Tuesday', 'Away', '1:3', '12', '40')</v>
      </c>
      <c r="W326" t="str">
        <f t="shared" si="5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'17'), ('04.11.2022', '18', '18 th round', 'KLA', 'Friday', 'Away', '2:3pp', '14', '18'), ('06.11.2022', '19', '19 th round', 'KVA', 'Sunday', 'Home', '5:3', '12', '21'), ('18.11.2022', '20', '20 th round', 'HRK', 'Friday', 'Away', '0:3', '13', '21'), ('20.11.2022', '21', '21 th round', 'BRN', 'Sunday', 'Home', '5:1', '11', '24'), ('25.11.2022', '22', '22 th round', 'TRI', 'Friday', 'Home', '1:2pp', '12', '25'), ('27.11.2022', '23', '23 th round', 'MBO', 'Sunday', 'Away', '4:6', '12', '25'), ('29.11.2022', '24', '24 th round', 'PLZ', 'Tuesday', 'Home', '2:4', '12', '25'), ('04.12.2022', '25', '26 th round', 'OLO', 'Sunday', 'Home', '5:3', '12', '28'), ('06.12.2022', '26', '25 th round', 'PAR', 'Tuesday', 'Away', '0:1', '12', '28'), ('09.12.2022', '27', '27 th round', 'VIT', 'Friday', 'Home', '5:3', '12', '31'), ('11.12.2022', '28', '28 th round', 'SPA', 'Sunday', 'Home', '5:2', '12', '34'), ('20.12.2022', '29', '29 th round', 'LIB', 'Tuesday', 'Home', '3:2sn', '11', '36'), ('22.12.2022', '30', '30 th round', 'BUD', 'Thursday', 'Away', '5:2', '11', '39'), ('26.12.2022', '31', '31 th round', 'KLA', 'Monday', 'Home', '2:3', '11', '39'), ('28.12.2022', '32', '32 th round', 'KVA', 'Wednesday', 'Away', '0:3', '11', '39'), ('30.12.2022', '33', '33 th round', 'HRK', 'Friday', 'Home', '2:3pp', '11', '40'), ('03.1.2023', '34', '34 th round', 'BRN', 'Tuesday', 'Away', '1:3', '12', '40')</v>
      </c>
    </row>
    <row r="327" spans="1:23" x14ac:dyDescent="0.25">
      <c r="A327" s="2">
        <v>44932</v>
      </c>
      <c r="B327" s="1">
        <v>35</v>
      </c>
      <c r="C327" s="1" t="s">
        <v>123</v>
      </c>
      <c r="D327" s="1" t="s">
        <v>6</v>
      </c>
      <c r="E327" s="1" t="s">
        <v>55</v>
      </c>
      <c r="F327" s="1" t="s">
        <v>155</v>
      </c>
      <c r="G327" s="3" t="s">
        <v>26</v>
      </c>
      <c r="H327" s="1">
        <v>11</v>
      </c>
      <c r="I327" s="1">
        <v>41</v>
      </c>
      <c r="L327" t="s">
        <v>154</v>
      </c>
      <c r="M327" t="str">
        <f>CONCATENATE("(","'",TEXT(A327,"dd.m.rrrrr"),"'",L327,"'",B327,"'",L327,"'",C327,"'",L327,"'",D327,"'",L327,"'",E327,"'",L327,"'",F327,"'",L327,"'",G327,"'",L327,"'",H327,"'",L327,"'",I327,"'",")")</f>
        <v>('06.1.2023', '35', '35 th round', 'TRI', 'Friday', 'Away', '2:3pp', '11', '41')</v>
      </c>
      <c r="W327" t="str">
        <f t="shared" si="5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'17'), ('04.11.2022', '18', '18 th round', 'KLA', 'Friday', 'Away', '2:3pp', '14', '18'), ('06.11.2022', '19', '19 th round', 'KVA', 'Sunday', 'Home', '5:3', '12', '21'), ('18.11.2022', '20', '20 th round', 'HRK', 'Friday', 'Away', '0:3', '13', '21'), ('20.11.2022', '21', '21 th round', 'BRN', 'Sunday', 'Home', '5:1', '11', '24'), ('25.11.2022', '22', '22 th round', 'TRI', 'Friday', 'Home', '1:2pp', '12', '25'), ('27.11.2022', '23', '23 th round', 'MBO', 'Sunday', 'Away', '4:6', '12', '25'), ('29.11.2022', '24', '24 th round', 'PLZ', 'Tuesday', 'Home', '2:4', '12', '25'), ('04.12.2022', '25', '26 th round', 'OLO', 'Sunday', 'Home', '5:3', '12', '28'), ('06.12.2022', '26', '25 th round', 'PAR', 'Tuesday', 'Away', '0:1', '12', '28'), ('09.12.2022', '27', '27 th round', 'VIT', 'Friday', 'Home', '5:3', '12', '31'), ('11.12.2022', '28', '28 th round', 'SPA', 'Sunday', 'Home', '5:2', '12', '34'), ('20.12.2022', '29', '29 th round', 'LIB', 'Tuesday', 'Home', '3:2sn', '11', '36'), ('22.12.2022', '30', '30 th round', 'BUD', 'Thursday', 'Away', '5:2', '11', '39'), ('26.12.2022', '31', '31 th round', 'KLA', 'Monday', 'Home', '2:3', '11', '39'), ('28.12.2022', '32', '32 th round', 'KVA', 'Wednesday', 'Away', '0:3', '11', '39'), ('30.12.2022', '33', '33 th round', 'HRK', 'Friday', 'Home', '2:3pp', '11', '40'), ('03.1.2023', '34', '34 th round', 'BRN', 'Tuesday', 'Away', '1:3', '12', '40'), ('06.1.2023', '35', '35 th round', 'TRI', 'Friday', 'Away', '2:3pp', '11', '41')</v>
      </c>
    </row>
    <row r="328" spans="1:23" x14ac:dyDescent="0.25">
      <c r="A328" s="2">
        <v>44934</v>
      </c>
      <c r="B328" s="1">
        <v>36</v>
      </c>
      <c r="C328" s="1" t="s">
        <v>124</v>
      </c>
      <c r="D328" s="1" t="s">
        <v>7</v>
      </c>
      <c r="E328" s="1" t="s">
        <v>57</v>
      </c>
      <c r="F328" s="1" t="s">
        <v>157</v>
      </c>
      <c r="G328" s="11" t="s">
        <v>189</v>
      </c>
      <c r="H328" s="1">
        <v>10</v>
      </c>
      <c r="I328" s="1">
        <v>44</v>
      </c>
      <c r="L328" t="s">
        <v>154</v>
      </c>
      <c r="M328" t="str">
        <f>CONCATENATE("(","'",TEXT(A328,"dd.m.rrrrr"),"'",L328,"'",B328,"'",L328,"'",C328,"'",L328,"'",D328,"'",L328,"'",E328,"'",L328,"'",F328,"'",L328,"'",G328,"'",L328,"'",H328,"'",L328,"'",I328,"'",")")</f>
        <v>('08.1.2023', '36', '36 th round', 'MBO', 'Sunday', 'Home', '4:3', '10', '44')</v>
      </c>
      <c r="W328" t="str">
        <f t="shared" si="5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'17'), ('04.11.2022', '18', '18 th round', 'KLA', 'Friday', 'Away', '2:3pp', '14', '18'), ('06.11.2022', '19', '19 th round', 'KVA', 'Sunday', 'Home', '5:3', '12', '21'), ('18.11.2022', '20', '20 th round', 'HRK', 'Friday', 'Away', '0:3', '13', '21'), ('20.11.2022', '21', '21 th round', 'BRN', 'Sunday', 'Home', '5:1', '11', '24'), ('25.11.2022', '22', '22 th round', 'TRI', 'Friday', 'Home', '1:2pp', '12', '25'), ('27.11.2022', '23', '23 th round', 'MBO', 'Sunday', 'Away', '4:6', '12', '25'), ('29.11.2022', '24', '24 th round', 'PLZ', 'Tuesday', 'Home', '2:4', '12', '25'), ('04.12.2022', '25', '26 th round', 'OLO', 'Sunday', 'Home', '5:3', '12', '28'), ('06.12.2022', '26', '25 th round', 'PAR', 'Tuesday', 'Away', '0:1', '12', '28'), ('09.12.2022', '27', '27 th round', 'VIT', 'Friday', 'Home', '5:3', '12', '31'), ('11.12.2022', '28', '28 th round', 'SPA', 'Sunday', 'Home', '5:2', '12', '34'), ('20.12.2022', '29', '29 th round', 'LIB', 'Tuesday', 'Home', '3:2sn', '11', '36'), ('22.12.2022', '30', '30 th round', 'BUD', 'Thursday', 'Away', '5:2', '11', '39'), ('26.12.2022', '31', '31 th round', 'KLA', 'Monday', 'Home', '2:3', '11', '39'), ('28.12.2022', '32', '32 th round', 'KVA', 'Wednesday', 'Away', '0:3', '11', '39'), ('30.12.2022', '33', '33 th round', 'HRK', 'Friday', 'Home', '2:3pp', '11', '40'), ('03.1.2023', '34', '34 th round', 'BRN', 'Tuesday', 'Away', '1:3', '12', '40'), ('06.1.2023', '35', '35 th round', 'TRI', 'Friday', 'Away', '2:3pp', '11', '41'), ('08.1.2023', '36', '36 th round', 'MBO', 'Sunday', 'Home', '4:3', '10', '44')</v>
      </c>
    </row>
    <row r="329" spans="1:23" x14ac:dyDescent="0.25">
      <c r="A329" s="2">
        <v>44939</v>
      </c>
      <c r="B329" s="1">
        <v>37</v>
      </c>
      <c r="C329" s="1" t="s">
        <v>125</v>
      </c>
      <c r="D329" s="1" t="s">
        <v>0</v>
      </c>
      <c r="E329" s="1" t="s">
        <v>55</v>
      </c>
      <c r="F329" s="1" t="s">
        <v>155</v>
      </c>
      <c r="G329" s="11" t="s">
        <v>169</v>
      </c>
      <c r="H329" s="1">
        <v>11</v>
      </c>
      <c r="I329" s="1">
        <v>44</v>
      </c>
      <c r="L329" t="s">
        <v>154</v>
      </c>
      <c r="M329" t="str">
        <f>CONCATENATE("(","'",TEXT(A329,"dd.m.rrrrr"),"'",L329,"'",B329,"'",L329,"'",C329,"'",L329,"'",D329,"'",L329,"'",E329,"'",L329,"'",F329,"'",L329,"'",G329,"'",L329,"'",H329,"'",L329,"'",I329,"'",")")</f>
        <v>('13.1.2023', '37', '37 th round', 'PLZ', 'Friday', 'Away', '1:4', '11', '44')</v>
      </c>
      <c r="W329" t="str">
        <f t="shared" si="5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'17'), ('04.11.2022', '18', '18 th round', 'KLA', 'Friday', 'Away', '2:3pp', '14', '18'), ('06.11.2022', '19', '19 th round', 'KVA', 'Sunday', 'Home', '5:3', '12', '21'), ('18.11.2022', '20', '20 th round', 'HRK', 'Friday', 'Away', '0:3', '13', '21'), ('20.11.2022', '21', '21 th round', 'BRN', 'Sunday', 'Home', '5:1', '11', '24'), ('25.11.2022', '22', '22 th round', 'TRI', 'Friday', 'Home', '1:2pp', '12', '25'), ('27.11.2022', '23', '23 th round', 'MBO', 'Sunday', 'Away', '4:6', '12', '25'), ('29.11.2022', '24', '24 th round', 'PLZ', 'Tuesday', 'Home', '2:4', '12', '25'), ('04.12.2022', '25', '26 th round', 'OLO', 'Sunday', 'Home', '5:3', '12', '28'), ('06.12.2022', '26', '25 th round', 'PAR', 'Tuesday', 'Away', '0:1', '12', '28'), ('09.12.2022', '27', '27 th round', 'VIT', 'Friday', 'Home', '5:3', '12', '31'), ('11.12.2022', '28', '28 th round', 'SPA', 'Sunday', 'Home', '5:2', '12', '34'), ('20.12.2022', '29', '29 th round', 'LIB', 'Tuesday', 'Home', '3:2sn', '11', '36'), ('22.12.2022', '30', '30 th round', 'BUD', 'Thursday', 'Away', '5:2', '11', '39'), ('26.12.2022', '31', '31 th round', 'KLA', 'Monday', 'Home', '2:3', '11', '39'), ('28.12.2022', '32', '32 th round', 'KVA', 'Wednesday', 'Away', '0:3', '11', '39'), ('30.12.2022', '33', '33 th round', 'HRK', 'Friday', 'Home', '2:3pp', '11', '40'), ('03.1.2023', '34', '34 th round', 'BRN', 'Tuesday', 'Away', '1:3', '12', '40'), ('06.1.2023', '35', '35 th round', 'TRI', 'Friday', 'Away', '2:3pp', '11', '41'), ('08.1.2023', '36', '36 th round', 'MBO', 'Sunday', 'Home', '4:3', '10', '44'), ('13.1.2023', '37', '37 th round', 'PLZ', 'Friday', 'Away', '1:4', '11', '44')</v>
      </c>
    </row>
    <row r="330" spans="1:23" x14ac:dyDescent="0.25">
      <c r="A330" s="2">
        <v>44941</v>
      </c>
      <c r="B330" s="1">
        <v>38</v>
      </c>
      <c r="C330" s="1" t="s">
        <v>126</v>
      </c>
      <c r="D330" s="1" t="s">
        <v>9</v>
      </c>
      <c r="E330" s="1" t="s">
        <v>57</v>
      </c>
      <c r="F330" s="1" t="s">
        <v>157</v>
      </c>
      <c r="G330" s="11" t="s">
        <v>167</v>
      </c>
      <c r="H330" s="1">
        <v>11</v>
      </c>
      <c r="I330" s="1">
        <v>44</v>
      </c>
      <c r="L330" t="s">
        <v>154</v>
      </c>
      <c r="M330" t="str">
        <f>CONCATENATE("(","'",TEXT(A330,"dd.m.rrrrr"),"'",L330,"'",B330,"'",L330,"'",C330,"'",L330,"'",D330,"'",L330,"'",E330,"'",L330,"'",F330,"'",L330,"'",G330,"'",L330,"'",H330,"'",L330,"'",I330,"'",")")</f>
        <v>('15.1.2023', '38', '38 th round', 'PAR', 'Sunday', 'Home', '1:2', '11', '44')</v>
      </c>
      <c r="W330" t="str">
        <f t="shared" si="5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'17'), ('04.11.2022', '18', '18 th round', 'KLA', 'Friday', 'Away', '2:3pp', '14', '18'), ('06.11.2022', '19', '19 th round', 'KVA', 'Sunday', 'Home', '5:3', '12', '21'), ('18.11.2022', '20', '20 th round', 'HRK', 'Friday', 'Away', '0:3', '13', '21'), ('20.11.2022', '21', '21 th round', 'BRN', 'Sunday', 'Home', '5:1', '11', '24'), ('25.11.2022', '22', '22 th round', 'TRI', 'Friday', 'Home', '1:2pp', '12', '25'), ('27.11.2022', '23', '23 th round', 'MBO', 'Sunday', 'Away', '4:6', '12', '25'), ('29.11.2022', '24', '24 th round', 'PLZ', 'Tuesday', 'Home', '2:4', '12', '25'), ('04.12.2022', '25', '26 th round', 'OLO', 'Sunday', 'Home', '5:3', '12', '28'), ('06.12.2022', '26', '25 th round', 'PAR', 'Tuesday', 'Away', '0:1', '12', '28'), ('09.12.2022', '27', '27 th round', 'VIT', 'Friday', 'Home', '5:3', '12', '31'), ('11.12.2022', '28', '28 th round', 'SPA', 'Sunday', 'Home', '5:2', '12', '34'), ('20.12.2022', '29', '29 th round', 'LIB', 'Tuesday', 'Home', '3:2sn', '11', '36'), ('22.12.2022', '30', '30 th round', 'BUD', 'Thursday', 'Away', '5:2', '11', '39'), ('26.12.2022', '31', '31 th round', 'KLA', 'Monday', 'Home', '2:3', '11', '39'), ('28.12.2022', '32', '32 th round', 'KVA', 'Wednesday', 'Away', '0:3', '11', '39'), ('30.12.2022', '33', '33 th round', 'HRK', 'Friday', 'Home', '2:3pp', '11', '40'), ('03.1.2023', '34', '34 th round', 'BRN', 'Tuesday', 'Away', '1:3', '12', '40'), ('06.1.2023', '35', '35 th round', 'TRI', 'Friday', 'Away', '2:3pp', '11', '41'), ('08.1.2023', '36', '36 th round', 'MBO', 'Sunday', 'Home', '4:3', '10', '44'), ('13.1.2023', '37', '37 th round', 'PLZ', 'Friday', 'Away', '1:4', '11', '44'), ('15.1.2023', '38', '38 th round', 'PAR', 'Sunday', 'Home', '1:2', '11', '44')</v>
      </c>
    </row>
    <row r="331" spans="1:23" x14ac:dyDescent="0.25">
      <c r="A331" s="2">
        <v>44946</v>
      </c>
      <c r="B331" s="1">
        <v>39</v>
      </c>
      <c r="C331" s="1" t="s">
        <v>127</v>
      </c>
      <c r="D331" s="1" t="s">
        <v>4</v>
      </c>
      <c r="E331" s="1" t="s">
        <v>55</v>
      </c>
      <c r="F331" s="1" t="s">
        <v>155</v>
      </c>
      <c r="G331" s="11" t="s">
        <v>208</v>
      </c>
      <c r="H331" s="4">
        <v>10</v>
      </c>
      <c r="I331" s="4">
        <v>47</v>
      </c>
      <c r="L331" t="s">
        <v>154</v>
      </c>
      <c r="M331" t="str">
        <f>CONCATENATE("(","'",TEXT(A331,"dd.m.rrrrr"),"'",L331,"'",B331,"'",L331,"'",C331,"'",L331,"'",D331,"'",L331,"'",E331,"'",L331,"'",F331,"'",L331,"'",G331,"'",L331,"'",H331,"'",L331,"'",I331,"'",")")</f>
        <v>('20.1.2023', '39', '39 th round', 'OLO', 'Friday', 'Away', '8:1', '10', '47')</v>
      </c>
      <c r="W331" t="str">
        <f t="shared" si="5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'17'), ('04.11.2022', '18', '18 th round', 'KLA', 'Friday', 'Away', '2:3pp', '14', '18'), ('06.11.2022', '19', '19 th round', 'KVA', 'Sunday', 'Home', '5:3', '12', '21'), ('18.11.2022', '20', '20 th round', 'HRK', 'Friday', 'Away', '0:3', '13', '21'), ('20.11.2022', '21', '21 th round', 'BRN', 'Sunday', 'Home', '5:1', '11', '24'), ('25.11.2022', '22', '22 th round', 'TRI', 'Friday', 'Home', '1:2pp', '12', '25'), ('27.11.2022', '23', '23 th round', 'MBO', 'Sunday', 'Away', '4:6', '12', '25'), ('29.11.2022', '24', '24 th round', 'PLZ', 'Tuesday', 'Home', '2:4', '12', '25'), ('04.12.2022', '25', '26 th round', 'OLO', 'Sunday', 'Home', '5:3', '12', '28'), ('06.12.2022', '26', '25 th round', 'PAR', 'Tuesday', 'Away', '0:1', '12', '28'), ('09.12.2022', '27', '27 th round', 'VIT', 'Friday', 'Home', '5:3', '12', '31'), ('11.12.2022', '28', '28 th round', 'SPA', 'Sunday', 'Home', '5:2', '12', '34'), ('20.12.2022', '29', '29 th round', 'LIB', 'Tuesday', 'Home', '3:2sn', '11', '36'), ('22.12.2022', '30', '30 th round', 'BUD', 'Thursday', 'Away', '5:2', '11', '39'), ('26.12.2022', '31', '31 th round', 'KLA', 'Monday', 'Home', '2:3', '11', '39'), ('28.12.2022', '32', '32 th round', 'KVA', 'Wednesday', 'Away', '0:3', '11', '39'), ('30.12.2022', '33', '33 th round', 'HRK', 'Friday', 'Home', '2:3pp', '11', '40'), ('03.1.2023', '34', '34 th round', 'BRN', 'Tuesday', 'Away', '1:3', '12', '40'), ('06.1.2023', '35', '35 th round', 'TRI', 'Friday', 'Away', '2:3pp', '11', '41'), ('08.1.2023', '36', '36 th round', 'MBO', 'Sunday', 'Home', '4:3', '10', '44'), ('13.1.2023', '37', '37 th round', 'PLZ', 'Friday', 'Away', '1:4', '11', '44'), ('15.1.2023', '38', '38 th round', 'PAR', 'Sunday', 'Home', '1:2', '11', '44'), ('20.1.2023', '39', '39 th round', 'OLO', 'Friday', 'Away', '8:1', '10', '47')</v>
      </c>
    </row>
    <row r="332" spans="1:23" x14ac:dyDescent="0.25">
      <c r="A332" s="2">
        <v>44948</v>
      </c>
      <c r="B332" s="1">
        <v>40</v>
      </c>
      <c r="C332" s="1" t="s">
        <v>128</v>
      </c>
      <c r="D332" s="1" t="s">
        <v>10</v>
      </c>
      <c r="E332" s="1" t="s">
        <v>57</v>
      </c>
      <c r="F332" s="1" t="s">
        <v>155</v>
      </c>
      <c r="G332" s="3" t="s">
        <v>32</v>
      </c>
      <c r="H332" s="1">
        <v>11</v>
      </c>
      <c r="I332" s="1">
        <v>49</v>
      </c>
      <c r="L332" t="s">
        <v>154</v>
      </c>
      <c r="M332" t="str">
        <f>CONCATENATE("(","'",TEXT(A332,"dd.m.rrrrr"),"'",L332,"'",B332,"'",L332,"'",C332,"'",L332,"'",D332,"'",L332,"'",E332,"'",L332,"'",F332,"'",L332,"'",G332,"'",L332,"'",H332,"'",L332,"'",I332,"'",")")</f>
        <v>('22.1.2023', '40', '40 th round', 'VIT', 'Sunday', 'Away', '3:2sn', '11', '49')</v>
      </c>
      <c r="W332" t="str">
        <f t="shared" si="5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'17'), ('04.11.2022', '18', '18 th round', 'KLA', 'Friday', 'Away', '2:3pp', '14', '18'), ('06.11.2022', '19', '19 th round', 'KVA', 'Sunday', 'Home', '5:3', '12', '21'), ('18.11.2022', '20', '20 th round', 'HRK', 'Friday', 'Away', '0:3', '13', '21'), ('20.11.2022', '21', '21 th round', 'BRN', 'Sunday', 'Home', '5:1', '11', '24'), ('25.11.2022', '22', '22 th round', 'TRI', 'Friday', 'Home', '1:2pp', '12', '25'), ('27.11.2022', '23', '23 th round', 'MBO', 'Sunday', 'Away', '4:6', '12', '25'), ('29.11.2022', '24', '24 th round', 'PLZ', 'Tuesday', 'Home', '2:4', '12', '25'), ('04.12.2022', '25', '26 th round', 'OLO', 'Sunday', 'Home', '5:3', '12', '28'), ('06.12.2022', '26', '25 th round', 'PAR', 'Tuesday', 'Away', '0:1', '12', '28'), ('09.12.2022', '27', '27 th round', 'VIT', 'Friday', 'Home', '5:3', '12', '31'), ('11.12.2022', '28', '28 th round', 'SPA', 'Sunday', 'Home', '5:2', '12', '34'), ('20.12.2022', '29', '29 th round', 'LIB', 'Tuesday', 'Home', '3:2sn', '11', '36'), ('22.12.2022', '30', '30 th round', 'BUD', 'Thursday', 'Away', '5:2', '11', '39'), ('26.12.2022', '31', '31 th round', 'KLA', 'Monday', 'Home', '2:3', '11', '39'), ('28.12.2022', '32', '32 th round', 'KVA', 'Wednesday', 'Away', '0:3', '11', '39'), ('30.12.2022', '33', '33 th round', 'HRK', 'Friday', 'Home', '2:3pp', '11', '40'), ('03.1.2023', '34', '34 th round', 'BRN', 'Tuesday', 'Away', '1:3', '12', '40'), ('06.1.2023', '35', '35 th round', 'TRI', 'Friday', 'Away', '2:3pp', '11', '41'), ('08.1.2023', '36', '36 th round', 'MBO', 'Sunday', 'Home', '4:3', '10', '44'), ('13.1.2023', '37', '37 th round', 'PLZ', 'Friday', 'Away', '1:4', '11', '44'), ('15.1.2023', '38', '38 th round', 'PAR', 'Sunday', 'Home', '1:2', '11', '44'), ('20.1.2023', '39', '39 th round', 'OLO', 'Friday', 'Away', '8:1', '10', '47'), ('22.1.2023', '40', '40 th round', 'VIT', 'Sunday', 'Away', '3:2sn', '11', '49')</v>
      </c>
    </row>
    <row r="333" spans="1:23" x14ac:dyDescent="0.25">
      <c r="A333" s="2">
        <v>44951</v>
      </c>
      <c r="B333" s="1">
        <v>41</v>
      </c>
      <c r="C333" s="1" t="s">
        <v>129</v>
      </c>
      <c r="D333" s="1" t="s">
        <v>3</v>
      </c>
      <c r="E333" s="1" t="s">
        <v>60</v>
      </c>
      <c r="F333" s="1" t="s">
        <v>155</v>
      </c>
      <c r="G333" s="11" t="s">
        <v>174</v>
      </c>
      <c r="H333" s="1">
        <v>12</v>
      </c>
      <c r="I333" s="1">
        <v>49</v>
      </c>
      <c r="L333" t="s">
        <v>154</v>
      </c>
      <c r="M333" t="str">
        <f>CONCATENATE("(","'",TEXT(A333,"dd.m.rrrrr"),"'",L333,"'",B333,"'",L333,"'",C333,"'",L333,"'",D333,"'",L333,"'",E333,"'",L333,"'",F333,"'",L333,"'",G333,"'",L333,"'",H333,"'",L333,"'",I333,"'",")")</f>
        <v>('25.1.2023', '41', '41 th round', 'SPA', 'Wednesday', 'Away', '2:3', '12', '49')</v>
      </c>
      <c r="W333" t="str">
        <f t="shared" si="5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'17'), ('04.11.2022', '18', '18 th round', 'KLA', 'Friday', 'Away', '2:3pp', '14', '18'), ('06.11.2022', '19', '19 th round', 'KVA', 'Sunday', 'Home', '5:3', '12', '21'), ('18.11.2022', '20', '20 th round', 'HRK', 'Friday', 'Away', '0:3', '13', '21'), ('20.11.2022', '21', '21 th round', 'BRN', 'Sunday', 'Home', '5:1', '11', '24'), ('25.11.2022', '22', '22 th round', 'TRI', 'Friday', 'Home', '1:2pp', '12', '25'), ('27.11.2022', '23', '23 th round', 'MBO', 'Sunday', 'Away', '4:6', '12', '25'), ('29.11.2022', '24', '24 th round', 'PLZ', 'Tuesday', 'Home', '2:4', '12', '25'), ('04.12.2022', '25', '26 th round', 'OLO', 'Sunday', 'Home', '5:3', '12', '28'), ('06.12.2022', '26', '25 th round', 'PAR', 'Tuesday', 'Away', '0:1', '12', '28'), ('09.12.2022', '27', '27 th round', 'VIT', 'Friday', 'Home', '5:3', '12', '31'), ('11.12.2022', '28', '28 th round', 'SPA', 'Sunday', 'Home', '5:2', '12', '34'), ('20.12.2022', '29', '29 th round', 'LIB', 'Tuesday', 'Home', '3:2sn', '11', '36'), ('22.12.2022', '30', '30 th round', 'BUD', 'Thursday', 'Away', '5:2', '11', '39'), ('26.12.2022', '31', '31 th round', 'KLA', 'Monday', 'Home', '2:3', '11', '39'), ('28.12.2022', '32', '32 th round', 'KVA', 'Wednesday', 'Away', '0:3', '11', '39'), ('30.12.2022', '33', '33 th round', 'HRK', 'Friday', 'Home', '2:3pp', '11', '40'), ('03.1.2023', '34', '34 th round', 'BRN', 'Tuesday', 'Away', '1:3', '12', '40'), ('06.1.2023', '35', '35 th round', 'TRI', 'Friday', 'Away', '2:3pp', '11', '41'), ('08.1.2023', '36', '36 th round', 'MBO', 'Sunday', 'Home', '4:3', '10', '44'), ('13.1.2023', '37', '37 th round', 'PLZ', 'Friday', 'Away', '1:4', '11', '44'), ('15.1.2023', '38', '38 th round', 'PAR', 'Sunday', 'Home', '1:2', '11', '44'), ('20.1.2023', '39', '39 th round', 'OLO', 'Friday', 'Away', '8:1', '10', '47'), ('22.1.2023', '40', '40 th round', 'VIT', 'Sunday', 'Away', '3:2sn', '11', '49'), ('25.1.2023', '41', '41 th round', 'SPA', 'Wednesday', 'Away', '2:3', '12', '49')</v>
      </c>
    </row>
    <row r="334" spans="1:23" x14ac:dyDescent="0.25">
      <c r="A334" s="2">
        <v>44953</v>
      </c>
      <c r="B334" s="1">
        <v>42</v>
      </c>
      <c r="C334" s="1" t="s">
        <v>130</v>
      </c>
      <c r="D334" s="1" t="s">
        <v>1</v>
      </c>
      <c r="E334" s="1" t="s">
        <v>55</v>
      </c>
      <c r="F334" s="1" t="s">
        <v>155</v>
      </c>
      <c r="G334" s="11" t="s">
        <v>160</v>
      </c>
      <c r="H334" s="1">
        <v>13</v>
      </c>
      <c r="I334" s="1">
        <v>49</v>
      </c>
      <c r="L334" t="s">
        <v>154</v>
      </c>
      <c r="M334" t="str">
        <f>CONCATENATE("(","'",TEXT(A334,"dd.m.rrrrr"),"'",L334,"'",B334,"'",L334,"'",C334,"'",L334,"'",D334,"'",L334,"'",E334,"'",L334,"'",F334,"'",L334,"'",G334,"'",L334,"'",H334,"'",L334,"'",I334,"'",")")</f>
        <v>('27.1.2023', '42', '42 th round', 'LIB', 'Friday', 'Away', '1:5', '13', '49')</v>
      </c>
      <c r="W334" t="str">
        <f t="shared" si="5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'17'), ('04.11.2022', '18', '18 th round', 'KLA', 'Friday', 'Away', '2:3pp', '14', '18'), ('06.11.2022', '19', '19 th round', 'KVA', 'Sunday', 'Home', '5:3', '12', '21'), ('18.11.2022', '20', '20 th round', 'HRK', 'Friday', 'Away', '0:3', '13', '21'), ('20.11.2022', '21', '21 th round', 'BRN', 'Sunday', 'Home', '5:1', '11', '24'), ('25.11.2022', '22', '22 th round', 'TRI', 'Friday', 'Home', '1:2pp', '12', '25'), ('27.11.2022', '23', '23 th round', 'MBO', 'Sunday', 'Away', '4:6', '12', '25'), ('29.11.2022', '24', '24 th round', 'PLZ', 'Tuesday', 'Home', '2:4', '12', '25'), ('04.12.2022', '25', '26 th round', 'OLO', 'Sunday', 'Home', '5:3', '12', '28'), ('06.12.2022', '26', '25 th round', 'PAR', 'Tuesday', 'Away', '0:1', '12', '28'), ('09.12.2022', '27', '27 th round', 'VIT', 'Friday', 'Home', '5:3', '12', '31'), ('11.12.2022', '28', '28 th round', 'SPA', 'Sunday', 'Home', '5:2', '12', '34'), ('20.12.2022', '29', '29 th round', 'LIB', 'Tuesday', 'Home', '3:2sn', '11', '36'), ('22.12.2022', '30', '30 th round', 'BUD', 'Thursday', 'Away', '5:2', '11', '39'), ('26.12.2022', '31', '31 th round', 'KLA', 'Monday', 'Home', '2:3', '11', '39'), ('28.12.2022', '32', '32 th round', 'KVA', 'Wednesday', 'Away', '0:3', '11', '39'), ('30.12.2022', '33', '33 th round', 'HRK', 'Friday', 'Home', '2:3pp', '11', '40'), ('03.1.2023', '34', '34 th round', 'BRN', 'Tuesday', 'Away', '1:3', '12', '40'), ('06.1.2023', '35', '35 th round', 'TRI', 'Friday', 'Away', '2:3pp', '11', '41'), ('08.1.2023', '36', '36 th round', 'MBO', 'Sunday', 'Home', '4:3', '10', '44'), ('13.1.2023', '37', '37 th round', 'PLZ', 'Friday', 'Away', '1:4', '11', '44'), ('15.1.2023', '38', '38 th round', 'PAR', 'Sunday', 'Home', '1:2', '11', '44'), ('20.1.2023', '39', '39 th round', 'OLO', 'Friday', 'Away', '8:1', '10', '47'), ('22.1.2023', '40', '40 th round', 'VIT', 'Sunday', 'Away', '3:2sn', '11', '49'), ('25.1.2023', '41', '41 th round', 'SPA', 'Wednesday', 'Away', '2:3', '12', '49'), ('27.1.2023', '42', '42 th round', 'LIB', 'Friday', 'Away', '1:5', '13', '49')</v>
      </c>
    </row>
    <row r="335" spans="1:23" x14ac:dyDescent="0.25">
      <c r="A335" s="2">
        <v>44955</v>
      </c>
      <c r="B335" s="1">
        <v>43</v>
      </c>
      <c r="C335" s="1" t="s">
        <v>131</v>
      </c>
      <c r="D335" s="1" t="s">
        <v>36</v>
      </c>
      <c r="E335" s="1" t="s">
        <v>57</v>
      </c>
      <c r="F335" s="1" t="s">
        <v>157</v>
      </c>
      <c r="G335" s="3" t="s">
        <v>40</v>
      </c>
      <c r="H335" s="1">
        <v>12</v>
      </c>
      <c r="I335" s="1">
        <v>51</v>
      </c>
      <c r="L335" t="s">
        <v>154</v>
      </c>
      <c r="M335" t="str">
        <f>CONCATENATE("(","'",TEXT(A335,"dd.m.rrrrr"),"'",L335,"'",B335,"'",L335,"'",C335,"'",L335,"'",D335,"'",L335,"'",E335,"'",L335,"'",F335,"'",L335,"'",G335,"'",L335,"'",H335,"'",L335,"'",I335,"'",")")</f>
        <v>('29.1.2023', '43', '43 th round', 'BUD', 'Sunday', 'Home', '1:0sn', '12', '51')</v>
      </c>
      <c r="W335" t="str">
        <f t="shared" si="5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'17'), ('04.11.2022', '18', '18 th round', 'KLA', 'Friday', 'Away', '2:3pp', '14', '18'), ('06.11.2022', '19', '19 th round', 'KVA', 'Sunday', 'Home', '5:3', '12', '21'), ('18.11.2022', '20', '20 th round', 'HRK', 'Friday', 'Away', '0:3', '13', '21'), ('20.11.2022', '21', '21 th round', 'BRN', 'Sunday', 'Home', '5:1', '11', '24'), ('25.11.2022', '22', '22 th round', 'TRI', 'Friday', 'Home', '1:2pp', '12', '25'), ('27.11.2022', '23', '23 th round', 'MBO', 'Sunday', 'Away', '4:6', '12', '25'), ('29.11.2022', '24', '24 th round', 'PLZ', 'Tuesday', 'Home', '2:4', '12', '25'), ('04.12.2022', '25', '26 th round', 'OLO', 'Sunday', 'Home', '5:3', '12', '28'), ('06.12.2022', '26', '25 th round', 'PAR', 'Tuesday', 'Away', '0:1', '12', '28'), ('09.12.2022', '27', '27 th round', 'VIT', 'Friday', 'Home', '5:3', '12', '31'), ('11.12.2022', '28', '28 th round', 'SPA', 'Sunday', 'Home', '5:2', '12', '34'), ('20.12.2022', '29', '29 th round', 'LIB', 'Tuesday', 'Home', '3:2sn', '11', '36'), ('22.12.2022', '30', '30 th round', 'BUD', 'Thursday', 'Away', '5:2', '11', '39'), ('26.12.2022', '31', '31 th round', 'KLA', 'Monday', 'Home', '2:3', '11', '39'), ('28.12.2022', '32', '32 th round', 'KVA', 'Wednesday', 'Away', '0:3', '11', '39'), ('30.12.2022', '33', '33 th round', 'HRK', 'Friday', 'Home', '2:3pp', '11', '40'), ('03.1.2023', '34', '34 th round', 'BRN', 'Tuesday', 'Away', '1:3', '12', '40'), ('06.1.2023', '35', '35 th round', 'TRI', 'Friday', 'Away', '2:3pp', '11', '41'), ('08.1.2023', '36', '36 th round', 'MBO', 'Sunday', 'Home', '4:3', '10', '44'), ('13.1.2023', '37', '37 th round', 'PLZ', 'Friday', 'Away', '1:4', '11', '44'), ('15.1.2023', '38', '38 th round', 'PAR', 'Sunday', 'Home', '1:2', '11', '44'), ('20.1.2023', '39', '39 th round', 'OLO', 'Friday', 'Away', '8:1', '10', '47'), ('22.1.2023', '40', '40 th round', 'VIT', 'Sunday', 'Away', '3:2sn', '11', '49'), ('25.1.2023', '41', '41 th round', 'SPA', 'Wednesday', 'Away', '2:3', '12', '49'), ('27.1.2023', '42', '42 th round', 'LIB', 'Friday', 'Away', '1:5', '13', '49'), ('29.1.2023', '43', '43 th round', 'BUD', 'Sunday', 'Home', '1:0sn', '12', '51')</v>
      </c>
    </row>
    <row r="336" spans="1:23" x14ac:dyDescent="0.25">
      <c r="A336" s="2">
        <v>44960</v>
      </c>
      <c r="B336" s="1">
        <v>44</v>
      </c>
      <c r="C336" s="1" t="s">
        <v>132</v>
      </c>
      <c r="D336" s="1" t="s">
        <v>28</v>
      </c>
      <c r="E336" s="1" t="s">
        <v>55</v>
      </c>
      <c r="F336" s="1" t="s">
        <v>155</v>
      </c>
      <c r="G336" s="11" t="s">
        <v>176</v>
      </c>
      <c r="H336" s="1">
        <v>12</v>
      </c>
      <c r="I336" s="1">
        <v>51</v>
      </c>
      <c r="L336" t="s">
        <v>154</v>
      </c>
      <c r="M336" t="str">
        <f>CONCATENATE("(","'",TEXT(A336,"dd.m.rrrrr"),"'",L336,"'",B336,"'",L336,"'",C336,"'",L336,"'",D336,"'",L336,"'",E336,"'",L336,"'",F336,"'",L336,"'",G336,"'",L336,"'",H336,"'",L336,"'",I336,"'",")")</f>
        <v>('03.2.2023', '44', '44 th round', 'KLA', 'Friday', 'Away', '2:5', '12', '51')</v>
      </c>
      <c r="W336" t="str">
        <f t="shared" si="5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'17'), ('04.11.2022', '18', '18 th round', 'KLA', 'Friday', 'Away', '2:3pp', '14', '18'), ('06.11.2022', '19', '19 th round', 'KVA', 'Sunday', 'Home', '5:3', '12', '21'), ('18.11.2022', '20', '20 th round', 'HRK', 'Friday', 'Away', '0:3', '13', '21'), ('20.11.2022', '21', '21 th round', 'BRN', 'Sunday', 'Home', '5:1', '11', '24'), ('25.11.2022', '22', '22 th round', 'TRI', 'Friday', 'Home', '1:2pp', '12', '25'), ('27.11.2022', '23', '23 th round', 'MBO', 'Sunday', 'Away', '4:6', '12', '25'), ('29.11.2022', '24', '24 th round', 'PLZ', 'Tuesday', 'Home', '2:4', '12', '25'), ('04.12.2022', '25', '26 th round', 'OLO', 'Sunday', 'Home', '5:3', '12', '28'), ('06.12.2022', '26', '25 th round', 'PAR', 'Tuesday', 'Away', '0:1', '12', '28'), ('09.12.2022', '27', '27 th round', 'VIT', 'Friday', 'Home', '5:3', '12', '31'), ('11.12.2022', '28', '28 th round', 'SPA', 'Sunday', 'Home', '5:2', '12', '34'), ('20.12.2022', '29', '29 th round', 'LIB', 'Tuesday', 'Home', '3:2sn', '11', '36'), ('22.12.2022', '30', '30 th round', 'BUD', 'Thursday', 'Away', '5:2', '11', '39'), ('26.12.2022', '31', '31 th round', 'KLA', 'Monday', 'Home', '2:3', '11', '39'), ('28.12.2022', '32', '32 th round', 'KVA', 'Wednesday', 'Away', '0:3', '11', '39'), ('30.12.2022', '33', '33 th round', 'HRK', 'Friday', 'Home', '2:3pp', '11', '40'), ('03.1.2023', '34', '34 th round', 'BRN', 'Tuesday', 'Away', '1:3', '12', '40'), ('06.1.2023', '35', '35 th round', 'TRI', 'Friday', 'Away', '2:3pp', '11', '41'), ('08.1.2023', '36', '36 th round', 'MBO', 'Sunday', 'Home', '4:3', '10', '44'), ('13.1.2023', '37', '37 th round', 'PLZ', 'Friday', 'Away', '1:4', '11', '44'), ('15.1.2023', '38', '38 th round', 'PAR', 'Sunday', 'Home', '1:2', '11', '44'), ('20.1.2023', '39', '39 th round', 'OLO', 'Friday', 'Away', '8:1', '10', '47'), ('22.1.2023', '40', '40 th round', 'VIT', 'Sunday', 'Away', '3:2sn', '11', '49'), ('25.1.2023', '41', '41 th round', 'SPA', 'Wednesday', 'Away', '2:3', '12', '49'), ('27.1.2023', '42', '42 th round', 'LIB', 'Friday', 'Away', '1:5', '13', '49'), ('29.1.2023', '43', '43 th round', 'BUD', 'Sunday', 'Home', '1:0sn', '12', '51'), ('03.2.2023', '44', '44 th round', 'KLA', 'Friday', 'Away', '2:5', '12', '51')</v>
      </c>
    </row>
    <row r="337" spans="1:23" x14ac:dyDescent="0.25">
      <c r="A337" s="2">
        <v>44962</v>
      </c>
      <c r="B337" s="1">
        <v>45</v>
      </c>
      <c r="C337" s="1" t="s">
        <v>133</v>
      </c>
      <c r="D337" s="1" t="s">
        <v>27</v>
      </c>
      <c r="E337" s="1" t="s">
        <v>57</v>
      </c>
      <c r="F337" s="1" t="s">
        <v>157</v>
      </c>
      <c r="G337" s="3" t="s">
        <v>37</v>
      </c>
      <c r="H337" s="1">
        <v>12</v>
      </c>
      <c r="I337" s="1">
        <v>52</v>
      </c>
      <c r="L337" t="s">
        <v>154</v>
      </c>
      <c r="M337" t="str">
        <f>CONCATENATE("(","'",TEXT(A337,"dd.m.rrrrr"),"'",L337,"'",B337,"'",L337,"'",C337,"'",L337,"'",D337,"'",L337,"'",E337,"'",L337,"'",F337,"'",L337,"'",G337,"'",L337,"'",H337,"'",L337,"'",I337,"'",")")</f>
        <v>('05.2.2023', '45', '45 th round', 'KVA', 'Sunday', 'Home', '1:2pp', '12', '52')</v>
      </c>
      <c r="W337" t="str">
        <f t="shared" si="5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'17'), ('04.11.2022', '18', '18 th round', 'KLA', 'Friday', 'Away', '2:3pp', '14', '18'), ('06.11.2022', '19', '19 th round', 'KVA', 'Sunday', 'Home', '5:3', '12', '21'), ('18.11.2022', '20', '20 th round', 'HRK', 'Friday', 'Away', '0:3', '13', '21'), ('20.11.2022', '21', '21 th round', 'BRN', 'Sunday', 'Home', '5:1', '11', '24'), ('25.11.2022', '22', '22 th round', 'TRI', 'Friday', 'Home', '1:2pp', '12', '25'), ('27.11.2022', '23', '23 th round', 'MBO', 'Sunday', 'Away', '4:6', '12', '25'), ('29.11.2022', '24', '24 th round', 'PLZ', 'Tuesday', 'Home', '2:4', '12', '25'), ('04.12.2022', '25', '26 th round', 'OLO', 'Sunday', 'Home', '5:3', '12', '28'), ('06.12.2022', '26', '25 th round', 'PAR', 'Tuesday', 'Away', '0:1', '12', '28'), ('09.12.2022', '27', '27 th round', 'VIT', 'Friday', 'Home', '5:3', '12', '31'), ('11.12.2022', '28', '28 th round', 'SPA', 'Sunday', 'Home', '5:2', '12', '34'), ('20.12.2022', '29', '29 th round', 'LIB', 'Tuesday', 'Home', '3:2sn', '11', '36'), ('22.12.2022', '30', '30 th round', 'BUD', 'Thursday', 'Away', '5:2', '11', '39'), ('26.12.2022', '31', '31 th round', 'KLA', 'Monday', 'Home', '2:3', '11', '39'), ('28.12.2022', '32', '32 th round', 'KVA', 'Wednesday', 'Away', '0:3', '11', '39'), ('30.12.2022', '33', '33 th round', 'HRK', 'Friday', 'Home', '2:3pp', '11', '40'), ('03.1.2023', '34', '34 th round', 'BRN', 'Tuesday', 'Away', '1:3', '12', '40'), ('06.1.2023', '35', '35 th round', 'TRI', 'Friday', 'Away', '2:3pp', '11', '41'), ('08.1.2023', '36', '36 th round', 'MBO', 'Sunday', 'Home', '4:3', '10', '44'), ('13.1.2023', '37', '37 th round', 'PLZ', 'Friday', 'Away', '1:4', '11', '44'), ('15.1.2023', '38', '38 th round', 'PAR', 'Sunday', 'Home', '1:2', '11', '44'), ('20.1.2023', '39', '39 th round', 'OLO', 'Friday', 'Away', '8:1', '10', '47'), ('22.1.2023', '40', '40 th round', 'VIT', 'Sunday', 'Away', '3:2sn', '11', '49'), ('25.1.2023', '41', '41 th round', 'SPA', 'Wednesday', 'Away', '2:3', '12', '49'), ('27.1.2023', '42', '42 th round', 'LIB', 'Friday', 'Away', '1:5', '13', '49'), ('29.1.2023', '43', '43 th round', 'BUD', 'Sunday', 'Home', '1:0sn', '12', '51'), ('03.2.2023', '44', '44 th round', 'KLA', 'Friday', 'Away', '2:5', '12', '51'), ('05.2.2023', '45', '45 th round', 'KVA', 'Sunday', 'Home', '1:2pp', '12', '52')</v>
      </c>
    </row>
    <row r="338" spans="1:23" x14ac:dyDescent="0.25">
      <c r="A338" s="2">
        <v>44972</v>
      </c>
      <c r="B338" s="1">
        <v>46</v>
      </c>
      <c r="C338" s="1" t="s">
        <v>134</v>
      </c>
      <c r="D338" s="1" t="s">
        <v>2</v>
      </c>
      <c r="E338" s="1" t="s">
        <v>60</v>
      </c>
      <c r="F338" s="1" t="s">
        <v>155</v>
      </c>
      <c r="G338" s="11" t="s">
        <v>163</v>
      </c>
      <c r="H338" s="1">
        <v>12</v>
      </c>
      <c r="I338" s="1">
        <v>52</v>
      </c>
      <c r="L338" t="s">
        <v>154</v>
      </c>
      <c r="M338" t="str">
        <f>CONCATENATE("(","'",TEXT(A338,"dd.m.rrrrr"),"'",L338,"'",B338,"'",L338,"'",C338,"'",L338,"'",D338,"'",L338,"'",E338,"'",L338,"'",F338,"'",L338,"'",G338,"'",L338,"'",H338,"'",L338,"'",I338,"'",")")</f>
        <v>('15.2.2023', '46', '46 th round', 'HRK', 'Wednesday', 'Away', '0:3', '12', '52')</v>
      </c>
      <c r="W338" t="str">
        <f t="shared" si="5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'17'), ('04.11.2022', '18', '18 th round', 'KLA', 'Friday', 'Away', '2:3pp', '14', '18'), ('06.11.2022', '19', '19 th round', 'KVA', 'Sunday', 'Home', '5:3', '12', '21'), ('18.11.2022', '20', '20 th round', 'HRK', 'Friday', 'Away', '0:3', '13', '21'), ('20.11.2022', '21', '21 th round', 'BRN', 'Sunday', 'Home', '5:1', '11', '24'), ('25.11.2022', '22', '22 th round', 'TRI', 'Friday', 'Home', '1:2pp', '12', '25'), ('27.11.2022', '23', '23 th round', 'MBO', 'Sunday', 'Away', '4:6', '12', '25'), ('29.11.2022', '24', '24 th round', 'PLZ', 'Tuesday', 'Home', '2:4', '12', '25'), ('04.12.2022', '25', '26 th round', 'OLO', 'Sunday', 'Home', '5:3', '12', '28'), ('06.12.2022', '26', '25 th round', 'PAR', 'Tuesday', 'Away', '0:1', '12', '28'), ('09.12.2022', '27', '27 th round', 'VIT', 'Friday', 'Home', '5:3', '12', '31'), ('11.12.2022', '28', '28 th round', 'SPA', 'Sunday', 'Home', '5:2', '12', '34'), ('20.12.2022', '29', '29 th round', 'LIB', 'Tuesday', 'Home', '3:2sn', '11', '36'), ('22.12.2022', '30', '30 th round', 'BUD', 'Thursday', 'Away', '5:2', '11', '39'), ('26.12.2022', '31', '31 th round', 'KLA', 'Monday', 'Home', '2:3', '11', '39'), ('28.12.2022', '32', '32 th round', 'KVA', 'Wednesday', 'Away', '0:3', '11', '39'), ('30.12.2022', '33', '33 th round', 'HRK', 'Friday', 'Home', '2:3pp', '11', '40'), ('03.1.2023', '34', '34 th round', 'BRN', 'Tuesday', 'Away', '1:3', '12', '40'), ('06.1.2023', '35', '35 th round', 'TRI', 'Friday', 'Away', '2:3pp', '11', '41'), ('08.1.2023', '36', '36 th round', 'MBO', 'Sunday', 'Home', '4:3', '10', '44'), ('13.1.2023', '37', '37 th round', 'PLZ', 'Friday', 'Away', '1:4', '11', '44'), ('15.1.2023', '38', '38 th round', 'PAR', 'Sunday', 'Home', '1:2', '11', '44'), ('20.1.2023', '39', '39 th round', 'OLO', 'Friday', 'Away', '8:1', '10', '47'), ('22.1.2023', '40', '40 th round', 'VIT', 'Sunday', 'Away', '3:2sn', '11', '49'), ('25.1.2023', '41', '41 th round', 'SPA', 'Wednesday', 'Away', '2:3', '12', '49'), ('27.1.2023', '42', '42 th round', 'LIB', 'Friday', 'Away', '1:5', '13', '49'), ('29.1.2023', '43', '43 th round', 'BUD', 'Sunday', 'Home', '1:0sn', '12', '51'), ('03.2.2023', '44', '44 th round', 'KLA', 'Friday', 'Away', '2:5', '12', '51'), ('05.2.2023', '45', '45 th round', 'KVA', 'Sunday', 'Home', '1:2pp', '12', '52'), ('15.2.2023', '46', '46 th round', 'HRK', 'Wednesday', 'Away', '0:3', '12', '52')</v>
      </c>
    </row>
    <row r="339" spans="1:23" x14ac:dyDescent="0.25">
      <c r="A339" s="2">
        <v>44974</v>
      </c>
      <c r="B339" s="1">
        <v>47</v>
      </c>
      <c r="C339" s="1" t="s">
        <v>135</v>
      </c>
      <c r="D339" s="1" t="s">
        <v>11</v>
      </c>
      <c r="E339" s="1" t="s">
        <v>55</v>
      </c>
      <c r="F339" s="1" t="s">
        <v>157</v>
      </c>
      <c r="G339" s="3" t="s">
        <v>32</v>
      </c>
      <c r="H339" s="1">
        <v>12</v>
      </c>
      <c r="I339" s="1">
        <v>54</v>
      </c>
      <c r="L339" t="s">
        <v>154</v>
      </c>
      <c r="M339" t="str">
        <f>CONCATENATE("(","'",TEXT(A339,"dd.m.rrrrr"),"'",L339,"'",B339,"'",L339,"'",C339,"'",L339,"'",D339,"'",L339,"'",E339,"'",L339,"'",F339,"'",L339,"'",G339,"'",L339,"'",H339,"'",L339,"'",I339,"'",")")</f>
        <v>('17.2.2023', '47', '47 th round', 'BRN', 'Friday', 'Home', '3:2sn', '12', '54')</v>
      </c>
      <c r="W339" t="str">
        <f t="shared" si="5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'17'), ('04.11.2022', '18', '18 th round', 'KLA', 'Friday', 'Away', '2:3pp', '14', '18'), ('06.11.2022', '19', '19 th round', 'KVA', 'Sunday', 'Home', '5:3', '12', '21'), ('18.11.2022', '20', '20 th round', 'HRK', 'Friday', 'Away', '0:3', '13', '21'), ('20.11.2022', '21', '21 th round', 'BRN', 'Sunday', 'Home', '5:1', '11', '24'), ('25.11.2022', '22', '22 th round', 'TRI', 'Friday', 'Home', '1:2pp', '12', '25'), ('27.11.2022', '23', '23 th round', 'MBO', 'Sunday', 'Away', '4:6', '12', '25'), ('29.11.2022', '24', '24 th round', 'PLZ', 'Tuesday', 'Home', '2:4', '12', '25'), ('04.12.2022', '25', '26 th round', 'OLO', 'Sunday', 'Home', '5:3', '12', '28'), ('06.12.2022', '26', '25 th round', 'PAR', 'Tuesday', 'Away', '0:1', '12', '28'), ('09.12.2022', '27', '27 th round', 'VIT', 'Friday', 'Home', '5:3', '12', '31'), ('11.12.2022', '28', '28 th round', 'SPA', 'Sunday', 'Home', '5:2', '12', '34'), ('20.12.2022', '29', '29 th round', 'LIB', 'Tuesday', 'Home', '3:2sn', '11', '36'), ('22.12.2022', '30', '30 th round', 'BUD', 'Thursday', 'Away', '5:2', '11', '39'), ('26.12.2022', '31', '31 th round', 'KLA', 'Monday', 'Home', '2:3', '11', '39'), ('28.12.2022', '32', '32 th round', 'KVA', 'Wednesday', 'Away', '0:3', '11', '39'), ('30.12.2022', '33', '33 th round', 'HRK', 'Friday', 'Home', '2:3pp', '11', '40'), ('03.1.2023', '34', '34 th round', 'BRN', 'Tuesday', 'Away', '1:3', '12', '40'), ('06.1.2023', '35', '35 th round', 'TRI', 'Friday', 'Away', '2:3pp', '11', '41'), ('08.1.2023', '36', '36 th round', 'MBO', 'Sunday', 'Home', '4:3', '10', '44'), ('13.1.2023', '37', '37 th round', 'PLZ', 'Friday', 'Away', '1:4', '11', '44'), ('15.1.2023', '38', '38 th round', 'PAR', 'Sunday', 'Home', '1:2', '11', '44'), ('20.1.2023', '39', '39 th round', 'OLO', 'Friday', 'Away', '8:1', '10', '47'), ('22.1.2023', '40', '40 th round', 'VIT', 'Sunday', 'Away', '3:2sn', '11', '49'), ('25.1.2023', '41', '41 th round', 'SPA', 'Wednesday', 'Away', '2:3', '12', '49'), ('27.1.2023', '42', '42 th round', 'LIB', 'Friday', 'Away', '1:5', '13', '49'), ('29.1.2023', '43', '43 th round', 'BUD', 'Sunday', 'Home', '1:0sn', '12', '51'), ('03.2.2023', '44', '44 th round', 'KLA', 'Friday', 'Away', '2:5', '12', '51'), ('05.2.2023', '45', '45 th round', 'KVA', 'Sunday', 'Home', '1:2pp', '12', '52'), ('15.2.2023', '46', '46 th round', 'HRK', 'Wednesday', 'Away', '0:3', '12', '52'), ('17.2.2023', '47', '47 th round', 'BRN', 'Friday', 'Home', '3:2sn', '12', '54')</v>
      </c>
    </row>
    <row r="340" spans="1:23" x14ac:dyDescent="0.25">
      <c r="A340" s="2">
        <v>44976</v>
      </c>
      <c r="B340" s="1">
        <v>48</v>
      </c>
      <c r="C340" s="1" t="s">
        <v>136</v>
      </c>
      <c r="D340" s="1" t="s">
        <v>6</v>
      </c>
      <c r="E340" s="1" t="s">
        <v>57</v>
      </c>
      <c r="F340" s="1" t="s">
        <v>157</v>
      </c>
      <c r="G340" s="3" t="s">
        <v>19</v>
      </c>
      <c r="H340" s="1">
        <v>12</v>
      </c>
      <c r="I340" s="1">
        <v>56</v>
      </c>
      <c r="L340" t="s">
        <v>154</v>
      </c>
      <c r="M340" t="str">
        <f>CONCATENATE("(","'",TEXT(A340,"dd.m.rrrrr"),"'",L340,"'",B340,"'",L340,"'",C340,"'",L340,"'",D340,"'",L340,"'",E340,"'",L340,"'",F340,"'",L340,"'",G340,"'",L340,"'",H340,"'",L340,"'",I340,"'",")")</f>
        <v>('19.2.2023', '48', '48 th round', 'TRI', 'Sunday', 'Home', '4:3pp', '12', '56')</v>
      </c>
      <c r="W340" t="str">
        <f t="shared" si="5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'17'), ('04.11.2022', '18', '18 th round', 'KLA', 'Friday', 'Away', '2:3pp', '14', '18'), ('06.11.2022', '19', '19 th round', 'KVA', 'Sunday', 'Home', '5:3', '12', '21'), ('18.11.2022', '20', '20 th round', 'HRK', 'Friday', 'Away', '0:3', '13', '21'), ('20.11.2022', '21', '21 th round', 'BRN', 'Sunday', 'Home', '5:1', '11', '24'), ('25.11.2022', '22', '22 th round', 'TRI', 'Friday', 'Home', '1:2pp', '12', '25'), ('27.11.2022', '23', '23 th round', 'MBO', 'Sunday', 'Away', '4:6', '12', '25'), ('29.11.2022', '24', '24 th round', 'PLZ', 'Tuesday', 'Home', '2:4', '12', '25'), ('04.12.2022', '25', '26 th round', 'OLO', 'Sunday', 'Home', '5:3', '12', '28'), ('06.12.2022', '26', '25 th round', 'PAR', 'Tuesday', 'Away', '0:1', '12', '28'), ('09.12.2022', '27', '27 th round', 'VIT', 'Friday', 'Home', '5:3', '12', '31'), ('11.12.2022', '28', '28 th round', 'SPA', 'Sunday', 'Home', '5:2', '12', '34'), ('20.12.2022', '29', '29 th round', 'LIB', 'Tuesday', 'Home', '3:2sn', '11', '36'), ('22.12.2022', '30', '30 th round', 'BUD', 'Thursday', 'Away', '5:2', '11', '39'), ('26.12.2022', '31', '31 th round', 'KLA', 'Monday', 'Home', '2:3', '11', '39'), ('28.12.2022', '32', '32 th round', 'KVA', 'Wednesday', 'Away', '0:3', '11', '39'), ('30.12.2022', '33', '33 th round', 'HRK', 'Friday', 'Home', '2:3pp', '11', '40'), ('03.1.2023', '34', '34 th round', 'BRN', 'Tuesday', 'Away', '1:3', '12', '40'), ('06.1.2023', '35', '35 th round', 'TRI', 'Friday', 'Away', '2:3pp', '11', '41'), ('08.1.2023', '36', '36 th round', 'MBO', 'Sunday', 'Home', '4:3', '10', '44'), ('13.1.2023', '37', '37 th round', 'PLZ', 'Friday', 'Away', '1:4', '11', '44'), ('15.1.2023', '38', '38 th round', 'PAR', 'Sunday', 'Home', '1:2', '11', '44'), ('20.1.2023', '39', '39 th round', 'OLO', 'Friday', 'Away', '8:1', '10', '47'), ('22.1.2023', '40', '40 th round', 'VIT', 'Sunday', 'Away', '3:2sn', '11', '49'), ('25.1.2023', '41', '41 th round', 'SPA', 'Wednesday', 'Away', '2:3', '12', '49'), ('27.1.2023', '42', '42 th round', 'LIB', 'Friday', 'Away', '1:5', '13', '49'), ('29.1.2023', '43', '43 th round', 'BUD', 'Sunday', 'Home', '1:0sn', '12', '51'), ('03.2.2023', '44', '44 th round', 'KLA', 'Friday', 'Away', '2:5', '12', '51'), ('05.2.2023', '45', '45 th round', 'KVA', 'Sunday', 'Home', '1:2pp', '12', '52'), ('15.2.2023', '46', '46 th round', 'HRK', 'Wednesday', 'Away', '0:3', '12', '52'), ('17.2.2023', '47', '47 th round', 'BRN', 'Friday', 'Home', '3:2sn', '12', '54'), ('19.2.2023', '48', '48 th round', 'TRI', 'Sunday', 'Home', '4:3pp', '12', '56')</v>
      </c>
    </row>
    <row r="341" spans="1:23" x14ac:dyDescent="0.25">
      <c r="A341" s="2">
        <v>44981</v>
      </c>
      <c r="B341" s="1">
        <v>49</v>
      </c>
      <c r="C341" s="1" t="s">
        <v>137</v>
      </c>
      <c r="D341" s="1" t="s">
        <v>7</v>
      </c>
      <c r="E341" s="1" t="s">
        <v>55</v>
      </c>
      <c r="F341" s="1" t="s">
        <v>155</v>
      </c>
      <c r="G341" s="11" t="s">
        <v>173</v>
      </c>
      <c r="H341" s="1">
        <v>12</v>
      </c>
      <c r="I341" s="1">
        <v>59</v>
      </c>
      <c r="L341" t="s">
        <v>154</v>
      </c>
      <c r="M341" t="str">
        <f>CONCATENATE("(","'",TEXT(A341,"dd.m.rrrrr"),"'",L341,"'",B341,"'",L341,"'",C341,"'",L341,"'",D341,"'",L341,"'",E341,"'",L341,"'",F341,"'",L341,"'",G341,"'",L341,"'",H341,"'",L341,"'",I341,"'",")")</f>
        <v>('24.2.2023', '49', '49 th round', 'MBO', 'Friday', 'Away', '2:1', '12', '59')</v>
      </c>
      <c r="W341" t="str">
        <f t="shared" si="5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'17'), ('04.11.2022', '18', '18 th round', 'KLA', 'Friday', 'Away', '2:3pp', '14', '18'), ('06.11.2022', '19', '19 th round', 'KVA', 'Sunday', 'Home', '5:3', '12', '21'), ('18.11.2022', '20', '20 th round', 'HRK', 'Friday', 'Away', '0:3', '13', '21'), ('20.11.2022', '21', '21 th round', 'BRN', 'Sunday', 'Home', '5:1', '11', '24'), ('25.11.2022', '22', '22 th round', 'TRI', 'Friday', 'Home', '1:2pp', '12', '25'), ('27.11.2022', '23', '23 th round', 'MBO', 'Sunday', 'Away', '4:6', '12', '25'), ('29.11.2022', '24', '24 th round', 'PLZ', 'Tuesday', 'Home', '2:4', '12', '25'), ('04.12.2022', '25', '26 th round', 'OLO', 'Sunday', 'Home', '5:3', '12', '28'), ('06.12.2022', '26', '25 th round', 'PAR', 'Tuesday', 'Away', '0:1', '12', '28'), ('09.12.2022', '27', '27 th round', 'VIT', 'Friday', 'Home', '5:3', '12', '31'), ('11.12.2022', '28', '28 th round', 'SPA', 'Sunday', 'Home', '5:2', '12', '34'), ('20.12.2022', '29', '29 th round', 'LIB', 'Tuesday', 'Home', '3:2sn', '11', '36'), ('22.12.2022', '30', '30 th round', 'BUD', 'Thursday', 'Away', '5:2', '11', '39'), ('26.12.2022', '31', '31 th round', 'KLA', 'Monday', 'Home', '2:3', '11', '39'), ('28.12.2022', '32', '32 th round', 'KVA', 'Wednesday', 'Away', '0:3', '11', '39'), ('30.12.2022', '33', '33 th round', 'HRK', 'Friday', 'Home', '2:3pp', '11', '40'), ('03.1.2023', '34', '34 th round', 'BRN', 'Tuesday', 'Away', '1:3', '12', '40'), ('06.1.2023', '35', '35 th round', 'TRI', 'Friday', 'Away', '2:3pp', '11', '41'), ('08.1.2023', '36', '36 th round', 'MBO', 'Sunday', 'Home', '4:3', '10', '44'), ('13.1.2023', '37', '37 th round', 'PLZ', 'Friday', 'Away', '1:4', '11', '44'), ('15.1.2023', '38', '38 th round', 'PAR', 'Sunday', 'Home', '1:2', '11', '44'), ('20.1.2023', '39', '39 th round', 'OLO', 'Friday', 'Away', '8:1', '10', '47'), ('22.1.2023', '40', '40 th round', 'VIT', 'Sunday', 'Away', '3:2sn', '11', '49'), ('25.1.2023', '41', '41 th round', 'SPA', 'Wednesday', 'Away', '2:3', '12', '49'), ('27.1.2023', '42', '42 th round', 'LIB', 'Friday', 'Away', '1:5', '13', '49'), ('29.1.2023', '43', '43 th round', 'BUD', 'Sunday', 'Home', '1:0sn', '12', '51'), ('03.2.2023', '44', '44 th round', 'KLA', 'Friday', 'Away', '2:5', '12', '51'), ('05.2.2023', '45', '45 th round', 'KVA', 'Sunday', 'Home', '1:2pp', '12', '52'), ('15.2.2023', '46', '46 th round', 'HRK', 'Wednesday', 'Away', '0:3', '12', '52'), ('17.2.2023', '47', '47 th round', 'BRN', 'Friday', 'Home', '3:2sn', '12', '54'), ('19.2.2023', '48', '48 th round', 'TRI', 'Sunday', 'Home', '4:3pp', '12', '56'), ('24.2.2023', '49', '49 th round', 'MBO', 'Friday', 'Away', '2:1', '12', '59')</v>
      </c>
    </row>
    <row r="342" spans="1:23" x14ac:dyDescent="0.25">
      <c r="A342" s="2">
        <v>44983</v>
      </c>
      <c r="B342" s="1">
        <v>50</v>
      </c>
      <c r="C342" s="1" t="s">
        <v>138</v>
      </c>
      <c r="D342" s="1" t="s">
        <v>0</v>
      </c>
      <c r="E342" s="1" t="s">
        <v>57</v>
      </c>
      <c r="F342" s="1" t="s">
        <v>157</v>
      </c>
      <c r="G342" s="11" t="s">
        <v>173</v>
      </c>
      <c r="H342" s="1">
        <v>11</v>
      </c>
      <c r="I342" s="1">
        <v>62</v>
      </c>
      <c r="L342" t="s">
        <v>154</v>
      </c>
      <c r="M342" t="str">
        <f>CONCATENATE("(","'",TEXT(A342,"dd.m.rrrrr"),"'",L342,"'",B342,"'",L342,"'",C342,"'",L342,"'",D342,"'",L342,"'",E342,"'",L342,"'",F342,"'",L342,"'",G342,"'",L342,"'",H342,"'",L342,"'",I342,"'",")")</f>
        <v>('26.2.2023', '50', '50 th round', 'PLZ', 'Sunday', 'Home', '2:1', '11', '62')</v>
      </c>
      <c r="W342" t="str">
        <f t="shared" si="5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'17'), ('04.11.2022', '18', '18 th round', 'KLA', 'Friday', 'Away', '2:3pp', '14', '18'), ('06.11.2022', '19', '19 th round', 'KVA', 'Sunday', 'Home', '5:3', '12', '21'), ('18.11.2022', '20', '20 th round', 'HRK', 'Friday', 'Away', '0:3', '13', '21'), ('20.11.2022', '21', '21 th round', 'BRN', 'Sunday', 'Home', '5:1', '11', '24'), ('25.11.2022', '22', '22 th round', 'TRI', 'Friday', 'Home', '1:2pp', '12', '25'), ('27.11.2022', '23', '23 th round', 'MBO', 'Sunday', 'Away', '4:6', '12', '25'), ('29.11.2022', '24', '24 th round', 'PLZ', 'Tuesday', 'Home', '2:4', '12', '25'), ('04.12.2022', '25', '26 th round', 'OLO', 'Sunday', 'Home', '5:3', '12', '28'), ('06.12.2022', '26', '25 th round', 'PAR', 'Tuesday', 'Away', '0:1', '12', '28'), ('09.12.2022', '27', '27 th round', 'VIT', 'Friday', 'Home', '5:3', '12', '31'), ('11.12.2022', '28', '28 th round', 'SPA', 'Sunday', 'Home', '5:2', '12', '34'), ('20.12.2022', '29', '29 th round', 'LIB', 'Tuesday', 'Home', '3:2sn', '11', '36'), ('22.12.2022', '30', '30 th round', 'BUD', 'Thursday', 'Away', '5:2', '11', '39'), ('26.12.2022', '31', '31 th round', 'KLA', 'Monday', 'Home', '2:3', '11', '39'), ('28.12.2022', '32', '32 th round', 'KVA', 'Wednesday', 'Away', '0:3', '11', '39'), ('30.12.2022', '33', '33 th round', 'HRK', 'Friday', 'Home', '2:3pp', '11', '40'), ('03.1.2023', '34', '34 th round', 'BRN', 'Tuesday', 'Away', '1:3', '12', '40'), ('06.1.2023', '35', '35 th round', 'TRI', 'Friday', 'Away', '2:3pp', '11', '41'), ('08.1.2023', '36', '36 th round', 'MBO', 'Sunday', 'Home', '4:3', '10', '44'), ('13.1.2023', '37', '37 th round', 'PLZ', 'Friday', 'Away', '1:4', '11', '44'), ('15.1.2023', '38', '38 th round', 'PAR', 'Sunday', 'Home', '1:2', '11', '44'), ('20.1.2023', '39', '39 th round', 'OLO', 'Friday', 'Away', '8:1', '10', '47'), ('22.1.2023', '40', '40 th round', 'VIT', 'Sunday', 'Away', '3:2sn', '11', '49'), ('25.1.2023', '41', '41 th round', 'SPA', 'Wednesday', 'Away', '2:3', '12', '49'), ('27.1.2023', '42', '42 th round', 'LIB', 'Friday', 'Away', '1:5', '13', '49'), ('29.1.2023', '43', '43 th round', 'BUD', 'Sunday', 'Home', '1:0sn', '12', '51'), ('03.2.2023', '44', '44 th round', 'KLA', 'Friday', 'Away', '2:5', '12', '51'), ('05.2.2023', '45', '45 th round', 'KVA', 'Sunday', 'Home', '1:2pp', '12', '52'), ('15.2.2023', '46', '46 th round', 'HRK', 'Wednesday', 'Away', '0:3', '12', '52'), ('17.2.2023', '47', '47 th round', 'BRN', 'Friday', 'Home', '3:2sn', '12', '54'), ('19.2.2023', '48', '48 th round', 'TRI', 'Sunday', 'Home', '4:3pp', '12', '56'), ('24.2.2023', '49', '49 th round', 'MBO', 'Friday', 'Away', '2:1', '12', '59'), ('26.2.2023', '50', '50 th round', 'PLZ', 'Sunday', 'Home', '2:1', '11', '62')</v>
      </c>
    </row>
    <row r="343" spans="1:23" x14ac:dyDescent="0.25">
      <c r="A343" s="2">
        <v>44988</v>
      </c>
      <c r="B343" s="1">
        <v>51</v>
      </c>
      <c r="C343" s="1" t="s">
        <v>139</v>
      </c>
      <c r="D343" s="1" t="s">
        <v>9</v>
      </c>
      <c r="E343" s="1" t="s">
        <v>55</v>
      </c>
      <c r="F343" s="1" t="s">
        <v>155</v>
      </c>
      <c r="G343" s="3" t="s">
        <v>32</v>
      </c>
      <c r="H343" s="1">
        <v>12</v>
      </c>
      <c r="I343" s="1">
        <v>64</v>
      </c>
      <c r="L343" t="s">
        <v>154</v>
      </c>
      <c r="M343" t="str">
        <f>CONCATENATE("(","'",TEXT(A343,"dd.m.rrrrr"),"'",L343,"'",B343,"'",L343,"'",C343,"'",L343,"'",D343,"'",L343,"'",E343,"'",L343,"'",F343,"'",L343,"'",G343,"'",L343,"'",H343,"'",L343,"'",I343,"'",")")</f>
        <v>('03.3.2023', '51', '51 th round', 'PAR', 'Friday', 'Away', '3:2sn', '12', '64')</v>
      </c>
      <c r="W343" t="str">
        <f t="shared" si="5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'17'), ('04.11.2022', '18', '18 th round', 'KLA', 'Friday', 'Away', '2:3pp', '14', '18'), ('06.11.2022', '19', '19 th round', 'KVA', 'Sunday', 'Home', '5:3', '12', '21'), ('18.11.2022', '20', '20 th round', 'HRK', 'Friday', 'Away', '0:3', '13', '21'), ('20.11.2022', '21', '21 th round', 'BRN', 'Sunday', 'Home', '5:1', '11', '24'), ('25.11.2022', '22', '22 th round', 'TRI', 'Friday', 'Home', '1:2pp', '12', '25'), ('27.11.2022', '23', '23 th round', 'MBO', 'Sunday', 'Away', '4:6', '12', '25'), ('29.11.2022', '24', '24 th round', 'PLZ', 'Tuesday', 'Home', '2:4', '12', '25'), ('04.12.2022', '25', '26 th round', 'OLO', 'Sunday', 'Home', '5:3', '12', '28'), ('06.12.2022', '26', '25 th round', 'PAR', 'Tuesday', 'Away', '0:1', '12', '28'), ('09.12.2022', '27', '27 th round', 'VIT', 'Friday', 'Home', '5:3', '12', '31'), ('11.12.2022', '28', '28 th round', 'SPA', 'Sunday', 'Home', '5:2', '12', '34'), ('20.12.2022', '29', '29 th round', 'LIB', 'Tuesday', 'Home', '3:2sn', '11', '36'), ('22.12.2022', '30', '30 th round', 'BUD', 'Thursday', 'Away', '5:2', '11', '39'), ('26.12.2022', '31', '31 th round', 'KLA', 'Monday', 'Home', '2:3', '11', '39'), ('28.12.2022', '32', '32 th round', 'KVA', 'Wednesday', 'Away', '0:3', '11', '39'), ('30.12.2022', '33', '33 th round', 'HRK', 'Friday', 'Home', '2:3pp', '11', '40'), ('03.1.2023', '34', '34 th round', 'BRN', 'Tuesday', 'Away', '1:3', '12', '40'), ('06.1.2023', '35', '35 th round', 'TRI', 'Friday', 'Away', '2:3pp', '11', '41'), ('08.1.2023', '36', '36 th round', 'MBO', 'Sunday', 'Home', '4:3', '10', '44'), ('13.1.2023', '37', '37 th round', 'PLZ', 'Friday', 'Away', '1:4', '11', '44'), ('15.1.2023', '38', '38 th round', 'PAR', 'Sunday', 'Home', '1:2', '11', '44'), ('20.1.2023', '39', '39 th round', 'OLO', 'Friday', 'Away', '8:1', '10', '47'), ('22.1.2023', '40', '40 th round', 'VIT', 'Sunday', 'Away', '3:2sn', '11', '49'), ('25.1.2023', '41', '41 th round', 'SPA', 'Wednesday', 'Away', '2:3', '12', '49'), ('27.1.2023', '42', '42 th round', 'LIB', 'Friday', 'Away', '1:5', '13', '49'), ('29.1.2023', '43', '43 th round', 'BUD', 'Sunday', 'Home', '1:0sn', '12', '51'), ('03.2.2023', '44', '44 th round', 'KLA', 'Friday', 'Away', '2:5', '12', '51'), ('05.2.2023', '45', '45 th round', 'KVA', 'Sunday', 'Home', '1:2pp', '12', '52'), ('15.2.2023', '46', '46 th round', 'HRK', 'Wednesday', 'Away', '0:3', '12', '52'), ('17.2.2023', '47', '47 th round', 'BRN', 'Friday', 'Home', '3:2sn', '12', '54'), ('19.2.2023', '48', '48 th round', 'TRI', 'Sunday', 'Home', '4:3pp', '12', '56'), ('24.2.2023', '49', '49 th round', 'MBO', 'Friday', 'Away', '2:1', '12', '59'), ('26.2.2023', '50', '50 th round', 'PLZ', 'Sunday', 'Home', '2:1', '11', '62'), ('03.3.2023', '51', '51 th round', 'PAR', 'Friday', 'Away', '3:2sn', '12', '64')</v>
      </c>
    </row>
    <row r="344" spans="1:23" x14ac:dyDescent="0.25">
      <c r="A344" s="2">
        <v>44990</v>
      </c>
      <c r="B344" s="1">
        <v>52</v>
      </c>
      <c r="C344" s="1" t="s">
        <v>140</v>
      </c>
      <c r="D344" s="1" t="s">
        <v>4</v>
      </c>
      <c r="E344" s="1" t="s">
        <v>57</v>
      </c>
      <c r="F344" s="1" t="s">
        <v>157</v>
      </c>
      <c r="G344" s="11" t="s">
        <v>195</v>
      </c>
      <c r="H344" s="4">
        <v>11</v>
      </c>
      <c r="I344" s="4">
        <v>67</v>
      </c>
      <c r="L344" t="s">
        <v>154</v>
      </c>
      <c r="M344" t="str">
        <f>CONCATENATE("(","'",TEXT(A344,"dd.m.rrrrr"),"'",L344,"'",B344,"'",L344,"'",C344,"'",L344,"'",D344,"'",L344,"'",E344,"'",L344,"'",F344,"'",L344,"'",G344,"'",L344,"'",H344,"'",L344,"'",I344,"'",")")</f>
        <v>('05.3.2023', '52', '52 th round', 'OLO', 'Sunday', 'Home', '5:1', '11', '67')</v>
      </c>
      <c r="W344" t="str">
        <f t="shared" si="5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'17'), ('04.11.2022', '18', '18 th round', 'KLA', 'Friday', 'Away', '2:3pp', '14', '18'), ('06.11.2022', '19', '19 th round', 'KVA', 'Sunday', 'Home', '5:3', '12', '21'), ('18.11.2022', '20', '20 th round', 'HRK', 'Friday', 'Away', '0:3', '13', '21'), ('20.11.2022', '21', '21 th round', 'BRN', 'Sunday', 'Home', '5:1', '11', '24'), ('25.11.2022', '22', '22 th round', 'TRI', 'Friday', 'Home', '1:2pp', '12', '25'), ('27.11.2022', '23', '23 th round', 'MBO', 'Sunday', 'Away', '4:6', '12', '25'), ('29.11.2022', '24', '24 th round', 'PLZ', 'Tuesday', 'Home', '2:4', '12', '25'), ('04.12.2022', '25', '26 th round', 'OLO', 'Sunday', 'Home', '5:3', '12', '28'), ('06.12.2022', '26', '25 th round', 'PAR', 'Tuesday', 'Away', '0:1', '12', '28'), ('09.12.2022', '27', '27 th round', 'VIT', 'Friday', 'Home', '5:3', '12', '31'), ('11.12.2022', '28', '28 th round', 'SPA', 'Sunday', 'Home', '5:2', '12', '34'), ('20.12.2022', '29', '29 th round', 'LIB', 'Tuesday', 'Home', '3:2sn', '11', '36'), ('22.12.2022', '30', '30 th round', 'BUD', 'Thursday', 'Away', '5:2', '11', '39'), ('26.12.2022', '31', '31 th round', 'KLA', 'Monday', 'Home', '2:3', '11', '39'), ('28.12.2022', '32', '32 th round', 'KVA', 'Wednesday', 'Away', '0:3', '11', '39'), ('30.12.2022', '33', '33 th round', 'HRK', 'Friday', 'Home', '2:3pp', '11', '40'), ('03.1.2023', '34', '34 th round', 'BRN', 'Tuesday', 'Away', '1:3', '12', '40'), ('06.1.2023', '35', '35 th round', 'TRI', 'Friday', 'Away', '2:3pp', '11', '41'), ('08.1.2023', '36', '36 th round', 'MBO', 'Sunday', 'Home', '4:3', '10', '44'), ('13.1.2023', '37', '37 th round', 'PLZ', 'Friday', 'Away', '1:4', '11', '44'), ('15.1.2023', '38', '38 th round', 'PAR', 'Sunday', 'Home', '1:2', '11', '44'), ('20.1.2023', '39', '39 th round', 'OLO', 'Friday', 'Away', '8:1', '10', '47'), ('22.1.2023', '40', '40 th round', 'VIT', 'Sunday', 'Away', '3:2sn', '11', '49'), ('25.1.2023', '41', '41 th round', 'SPA', 'Wednesday', 'Away', '2:3', '12', '49'), ('27.1.2023', '42', '42 th round', 'LIB', 'Friday', 'Away', '1:5', '13', '49'), ('29.1.2023', '43', '43 th round', 'BUD', 'Sunday', 'Home', '1:0sn', '12', '51'), ('03.2.2023', '44', '44 th round', 'KLA', 'Friday', 'Away', '2:5', '12', '51'), ('05.2.2023', '45', '45 th round', 'KVA', 'Sunday', 'Home', '1:2pp', '12', '52'), ('15.2.2023', '46', '46 th round', 'HRK', 'Wednesday', 'Away', '0:3', '12', '52'), ('17.2.2023', '47', '47 th round', 'BRN', 'Friday', 'Home', '3:2sn', '12', '54'), ('19.2.2023', '48', '48 th round', 'TRI', 'Sunday', 'Home', '4:3pp', '12', '56'), ('24.2.2023', '49', '49 th round', 'MBO', 'Friday', 'Away', '2:1', '12', '59'), ('26.2.2023', '50', '50 th round', 'PLZ', 'Sunday', 'Home', '2:1', '11', '62'), ('03.3.2023', '51', '51 th round', 'PAR', 'Friday', 'Away', '3:2sn', '12', '64'), ('05.3.2023', '52', '52 th round', 'OLO', 'Sunday', 'Home', '5:1', '11', '67')</v>
      </c>
    </row>
    <row r="345" spans="1:23" x14ac:dyDescent="0.25">
      <c r="A345" s="2">
        <v>44993</v>
      </c>
      <c r="B345" s="1">
        <v>53</v>
      </c>
      <c r="C345" s="1" t="s">
        <v>79</v>
      </c>
      <c r="D345" s="1" t="s">
        <v>6</v>
      </c>
      <c r="E345" s="1" t="s">
        <v>60</v>
      </c>
      <c r="F345" s="1" t="s">
        <v>155</v>
      </c>
      <c r="G345" s="11" t="s">
        <v>168</v>
      </c>
      <c r="L345" t="s">
        <v>154</v>
      </c>
      <c r="M345" t="str">
        <f>CONCATENATE("(","'",TEXT(A345,"dd.m.rrrrr"),"'",L345,"'",B345,"'",L345,"'",C345,"'",L345,"'",D345,"'",L345,"'",E345,"'",L345,"'",F345,"'",L345,"'",G345,"'",L345,"'",H345,"'",L345,"'",I345,"'",")")</f>
        <v>('08.3.2023', '53', 'Playoff 1st round ', 'TRI', 'Wednesday', 'Away', '1:3', '', '')</v>
      </c>
      <c r="W345" t="str">
        <f t="shared" si="5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'17'), ('04.11.2022', '18', '18 th round', 'KLA', 'Friday', 'Away', '2:3pp', '14', '18'), ('06.11.2022', '19', '19 th round', 'KVA', 'Sunday', 'Home', '5:3', '12', '21'), ('18.11.2022', '20', '20 th round', 'HRK', 'Friday', 'Away', '0:3', '13', '21'), ('20.11.2022', '21', '21 th round', 'BRN', 'Sunday', 'Home', '5:1', '11', '24'), ('25.11.2022', '22', '22 th round', 'TRI', 'Friday', 'Home', '1:2pp', '12', '25'), ('27.11.2022', '23', '23 th round', 'MBO', 'Sunday', 'Away', '4:6', '12', '25'), ('29.11.2022', '24', '24 th round', 'PLZ', 'Tuesday', 'Home', '2:4', '12', '25'), ('04.12.2022', '25', '26 th round', 'OLO', 'Sunday', 'Home', '5:3', '12', '28'), ('06.12.2022', '26', '25 th round', 'PAR', 'Tuesday', 'Away', '0:1', '12', '28'), ('09.12.2022', '27', '27 th round', 'VIT', 'Friday', 'Home', '5:3', '12', '31'), ('11.12.2022', '28', '28 th round', 'SPA', 'Sunday', 'Home', '5:2', '12', '34'), ('20.12.2022', '29', '29 th round', 'LIB', 'Tuesday', 'Home', '3:2sn', '11', '36'), ('22.12.2022', '30', '30 th round', 'BUD', 'Thursday', 'Away', '5:2', '11', '39'), ('26.12.2022', '31', '31 th round', 'KLA', 'Monday', 'Home', '2:3', '11', '39'), ('28.12.2022', '32', '32 th round', 'KVA', 'Wednesday', 'Away', '0:3', '11', '39'), ('30.12.2022', '33', '33 th round', 'HRK', 'Friday', 'Home', '2:3pp', '11', '40'), ('03.1.2023', '34', '34 th round', 'BRN', 'Tuesday', 'Away', '1:3', '12', '40'), ('06.1.2023', '35', '35 th round', 'TRI', 'Friday', 'Away', '2:3pp', '11', '41'), ('08.1.2023', '36', '36 th round', 'MBO', 'Sunday', 'Home', '4:3', '10', '44'), ('13.1.2023', '37', '37 th round', 'PLZ', 'Friday', 'Away', '1:4', '11', '44'), ('15.1.2023', '38', '38 th round', 'PAR', 'Sunday', 'Home', '1:2', '11', '44'), ('20.1.2023', '39', '39 th round', 'OLO', 'Friday', 'Away', '8:1', '10', '47'), ('22.1.2023', '40', '40 th round', 'VIT', 'Sunday', 'Away', '3:2sn', '11', '49'), ('25.1.2023', '41', '41 th round', 'SPA', 'Wednesday', 'Away', '2:3', '12', '49'), ('27.1.2023', '42', '42 th round', 'LIB', 'Friday', 'Away', '1:5', '13', '49'), ('29.1.2023', '43', '43 th round', 'BUD', 'Sunday', 'Home', '1:0sn', '12', '51'), ('03.2.2023', '44', '44 th round', 'KLA', 'Friday', 'Away', '2:5', '12', '51'), ('05.2.2023', '45', '45 th round', 'KVA', 'Sunday', 'Home', '1:2pp', '12', '52'), ('15.2.2023', '46', '46 th round', 'HRK', 'Wednesday', 'Away', '0:3', '12', '52'), ('17.2.2023', '47', '47 th round', 'BRN', 'Friday', 'Home', '3:2sn', '12', '54'), ('19.2.2023', '48', '48 th round', 'TRI', 'Sunday', 'Home', '4:3pp', '12', '56'), ('24.2.2023', '49', '49 th round', 'MBO', 'Friday', 'Away', '2:1', '12', '59'), ('26.2.2023', '50', '50 th round', 'PLZ', 'Sunday', 'Home', '2:1', '11', '62'), ('03.3.2023', '51', '51 th round', 'PAR', 'Friday', 'Away', '3:2sn', '12', '64'), ('05.3.2023', '52', '52 th round', 'OLO', 'Sunday', 'Home', '5:1', '11', '67'), ('08.3.2023', '53', 'Playoff 1st round ', 'TRI', 'Wednesday', 'Away', '1:3', '', '')</v>
      </c>
    </row>
    <row r="346" spans="1:23" x14ac:dyDescent="0.25">
      <c r="A346" s="2">
        <v>44994</v>
      </c>
      <c r="B346" s="1">
        <v>54</v>
      </c>
      <c r="C346" s="1" t="s">
        <v>79</v>
      </c>
      <c r="D346" s="1" t="s">
        <v>6</v>
      </c>
      <c r="E346" s="1" t="s">
        <v>61</v>
      </c>
      <c r="F346" s="1" t="s">
        <v>155</v>
      </c>
      <c r="G346" s="3" t="s">
        <v>35</v>
      </c>
      <c r="L346" t="s">
        <v>154</v>
      </c>
      <c r="M346" t="str">
        <f>CONCATENATE("(","'",TEXT(A346,"dd.m.rrrrr"),"'",L346,"'",B346,"'",L346,"'",C346,"'",L346,"'",D346,"'",L346,"'",E346,"'",L346,"'",F346,"'",L346,"'",G346,"'",L346,"'",H346,"'",L346,"'",I346,"'",")")</f>
        <v>('09.3.2023', '54', 'Playoff 1st round ', 'TRI', 'Thursday', 'Away', '4:5pp', '', '')</v>
      </c>
      <c r="W346" t="str">
        <f t="shared" si="5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'17'), ('04.11.2022', '18', '18 th round', 'KLA', 'Friday', 'Away', '2:3pp', '14', '18'), ('06.11.2022', '19', '19 th round', 'KVA', 'Sunday', 'Home', '5:3', '12', '21'), ('18.11.2022', '20', '20 th round', 'HRK', 'Friday', 'Away', '0:3', '13', '21'), ('20.11.2022', '21', '21 th round', 'BRN', 'Sunday', 'Home', '5:1', '11', '24'), ('25.11.2022', '22', '22 th round', 'TRI', 'Friday', 'Home', '1:2pp', '12', '25'), ('27.11.2022', '23', '23 th round', 'MBO', 'Sunday', 'Away', '4:6', '12', '25'), ('29.11.2022', '24', '24 th round', 'PLZ', 'Tuesday', 'Home', '2:4', '12', '25'), ('04.12.2022', '25', '26 th round', 'OLO', 'Sunday', 'Home', '5:3', '12', '28'), ('06.12.2022', '26', '25 th round', 'PAR', 'Tuesday', 'Away', '0:1', '12', '28'), ('09.12.2022', '27', '27 th round', 'VIT', 'Friday', 'Home', '5:3', '12', '31'), ('11.12.2022', '28', '28 th round', 'SPA', 'Sunday', 'Home', '5:2', '12', '34'), ('20.12.2022', '29', '29 th round', 'LIB', 'Tuesday', 'Home', '3:2sn', '11', '36'), ('22.12.2022', '30', '30 th round', 'BUD', 'Thursday', 'Away', '5:2', '11', '39'), ('26.12.2022', '31', '31 th round', 'KLA', 'Monday', 'Home', '2:3', '11', '39'), ('28.12.2022', '32', '32 th round', 'KVA', 'Wednesday', 'Away', '0:3', '11', '39'), ('30.12.2022', '33', '33 th round', 'HRK', 'Friday', 'Home', '2:3pp', '11', '40'), ('03.1.2023', '34', '34 th round', 'BRN', 'Tuesday', 'Away', '1:3', '12', '40'), ('06.1.2023', '35', '35 th round', 'TRI', 'Friday', 'Away', '2:3pp', '11', '41'), ('08.1.2023', '36', '36 th round', 'MBO', 'Sunday', 'Home', '4:3', '10', '44'), ('13.1.2023', '37', '37 th round', 'PLZ', 'Friday', 'Away', '1:4', '11', '44'), ('15.1.2023', '38', '38 th round', 'PAR', 'Sunday', 'Home', '1:2', '11', '44'), ('20.1.2023', '39', '39 th round', 'OLO', 'Friday', 'Away', '8:1', '10', '47'), ('22.1.2023', '40', '40 th round', 'VIT', 'Sunday', 'Away', '3:2sn', '11', '49'), ('25.1.2023', '41', '41 th round', 'SPA', 'Wednesday', 'Away', '2:3', '12', '49'), ('27.1.2023', '42', '42 th round', 'LIB', 'Friday', 'Away', '1:5', '13', '49'), ('29.1.2023', '43', '43 th round', 'BUD', 'Sunday', 'Home', '1:0sn', '12', '51'), ('03.2.2023', '44', '44 th round', 'KLA', 'Friday', 'Away', '2:5', '12', '51'), ('05.2.2023', '45', '45 th round', 'KVA', 'Sunday', 'Home', '1:2pp', '12', '52'), ('15.2.2023', '46', '46 th round', 'HRK', 'Wednesday', 'Away', '0:3', '12', '52'), ('17.2.2023', '47', '47 th round', 'BRN', 'Friday', 'Home', '3:2sn', '12', '54'), ('19.2.2023', '48', '48 th round', 'TRI', 'Sunday', 'Home', '4:3pp', '12', '56'), ('24.2.2023', '49', '49 th round', 'MBO', 'Friday', 'Away', '2:1', '12', '59'), ('26.2.2023', '50', '50 th round', 'PLZ', 'Sunday', 'Home', '2:1', '11', '62'), ('03.3.2023', '51', '51 th round', 'PAR', 'Friday', 'Away', '3:2sn', '12', '64'), ('05.3.2023', '52', '52 th round', 'OLO', 'Sunday', 'Home', '5:1', '11', '67'), ('08.3.2023', '53', 'Playoff 1st round ', 'TRI', 'Wednesday', 'Away', '1:3', '', ''), ('09.3.2023', '54', 'Playoff 1st round ', 'TRI', 'Thursday', 'Away', '4:5pp', '', '')</v>
      </c>
    </row>
    <row r="347" spans="1:23" x14ac:dyDescent="0.25">
      <c r="A347" s="2">
        <v>44996</v>
      </c>
      <c r="B347" s="1">
        <v>55</v>
      </c>
      <c r="C347" s="1" t="s">
        <v>79</v>
      </c>
      <c r="D347" s="1" t="s">
        <v>6</v>
      </c>
      <c r="E347" s="1" t="s">
        <v>56</v>
      </c>
      <c r="F347" s="1" t="s">
        <v>157</v>
      </c>
      <c r="G347" s="11" t="s">
        <v>175</v>
      </c>
      <c r="L347" t="s">
        <v>154</v>
      </c>
      <c r="M347" t="str">
        <f>CONCATENATE("(","'",TEXT(A347,"dd.m.rrrrr"),"'",L347,"'",B347,"'",L347,"'",C347,"'",L347,"'",D347,"'",L347,"'",E347,"'",L347,"'",F347,"'",L347,"'",G347,"'",L347,"'",H347,"'",L347,"'",I347,"'",")")</f>
        <v>('11.3.2023', '55', 'Playoff 1st round ', 'TRI', 'Saturday', 'Home', '2:4', '', '')</v>
      </c>
      <c r="W347" t="str">
        <f t="shared" si="5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'17'), ('04.11.2022', '18', '18 th round', 'KLA', 'Friday', 'Away', '2:3pp', '14', '18'), ('06.11.2022', '19', '19 th round', 'KVA', 'Sunday', 'Home', '5:3', '12', '21'), ('18.11.2022', '20', '20 th round', 'HRK', 'Friday', 'Away', '0:3', '13', '21'), ('20.11.2022', '21', '21 th round', 'BRN', 'Sunday', 'Home', '5:1', '11', '24'), ('25.11.2022', '22', '22 th round', 'TRI', 'Friday', 'Home', '1:2pp', '12', '25'), ('27.11.2022', '23', '23 th round', 'MBO', 'Sunday', 'Away', '4:6', '12', '25'), ('29.11.2022', '24', '24 th round', 'PLZ', 'Tuesday', 'Home', '2:4', '12', '25'), ('04.12.2022', '25', '26 th round', 'OLO', 'Sunday', 'Home', '5:3', '12', '28'), ('06.12.2022', '26', '25 th round', 'PAR', 'Tuesday', 'Away', '0:1', '12', '28'), ('09.12.2022', '27', '27 th round', 'VIT', 'Friday', 'Home', '5:3', '12', '31'), ('11.12.2022', '28', '28 th round', 'SPA', 'Sunday', 'Home', '5:2', '12', '34'), ('20.12.2022', '29', '29 th round', 'LIB', 'Tuesday', 'Home', '3:2sn', '11', '36'), ('22.12.2022', '30', '30 th round', 'BUD', 'Thursday', 'Away', '5:2', '11', '39'), ('26.12.2022', '31', '31 th round', 'KLA', 'Monday', 'Home', '2:3', '11', '39'), ('28.12.2022', '32', '32 th round', 'KVA', 'Wednesday', 'Away', '0:3', '11', '39'), ('30.12.2022', '33', '33 th round', 'HRK', 'Friday', 'Home', '2:3pp', '11', '40'), ('03.1.2023', '34', '34 th round', 'BRN', 'Tuesday', 'Away', '1:3', '12', '40'), ('06.1.2023', '35', '35 th round', 'TRI', 'Friday', 'Away', '2:3pp', '11', '41'), ('08.1.2023', '36', '36 th round', 'MBO', 'Sunday', 'Home', '4:3', '10', '44'), ('13.1.2023', '37', '37 th round', 'PLZ', 'Friday', 'Away', '1:4', '11', '44'), ('15.1.2023', '38', '38 th round', 'PAR', 'Sunday', 'Home', '1:2', '11', '44'), ('20.1.2023', '39', '39 th round', 'OLO', 'Friday', 'Away', '8:1', '10', '47'), ('22.1.2023', '40', '40 th round', 'VIT', 'Sunday', 'Away', '3:2sn', '11', '49'), ('25.1.2023', '41', '41 th round', 'SPA', 'Wednesday', 'Away', '2:3', '12', '49'), ('27.1.2023', '42', '42 th round', 'LIB', 'Friday', 'Away', '1:5', '13', '49'), ('29.1.2023', '43', '43 th round', 'BUD', 'Sunday', 'Home', '1:0sn', '12', '51'), ('03.2.2023', '44', '44 th round', 'KLA', 'Friday', 'Away', '2:5', '12', '51'), ('05.2.2023', '45', '45 th round', 'KVA', 'Sunday', 'Home', '1:2pp', '12', '52'), ('15.2.2023', '46', '46 th round', 'HRK', 'Wednesday', 'Away', '0:3', '12', '52'), ('17.2.2023', '47', '47 th round', 'BRN', 'Friday', 'Home', '3:2sn', '12', '54'), ('19.2.2023', '48', '48 th round', 'TRI', 'Sunday', 'Home', '4:3pp', '12', '56'), ('24.2.2023', '49', '49 th round', 'MBO', 'Friday', 'Away', '2:1', '12', '59'), ('26.2.2023', '50', '50 th round', 'PLZ', 'Sunday', 'Home', '2:1', '11', '62'), ('03.3.2023', '51', '51 th round', 'PAR', 'Friday', 'Away', '3:2sn', '12', '64'), ('05.3.2023', '52', '52 th round', 'OLO', 'Sunday', 'Home', '5:1', '11', '67'), ('08.3.2023', '53', 'Playoff 1st round ', 'TRI', 'Wednesday', 'Away', '1:3', '', ''), ('09.3.2023', '54', 'Playoff 1st round ', 'TRI', 'Thursday', 'Away', '4:5pp', '', ''), ('11.3.2023', '55', 'Playoff 1st round ', 'TRI', 'Saturday', 'Home', '2:4', '', '')</v>
      </c>
    </row>
    <row r="348" spans="1:23" x14ac:dyDescent="0.25">
      <c r="A348" s="2">
        <v>45184</v>
      </c>
      <c r="B348" s="1">
        <v>1</v>
      </c>
      <c r="C348" s="1" t="s">
        <v>64</v>
      </c>
      <c r="D348" s="1" t="s">
        <v>9</v>
      </c>
      <c r="E348" s="1" t="s">
        <v>55</v>
      </c>
      <c r="F348" s="1" t="s">
        <v>155</v>
      </c>
      <c r="G348" s="11" t="s">
        <v>160</v>
      </c>
      <c r="H348" s="1">
        <v>13</v>
      </c>
      <c r="I348" s="1">
        <v>0</v>
      </c>
      <c r="L348" t="s">
        <v>154</v>
      </c>
      <c r="M348" t="str">
        <f>CONCATENATE("(","'",TEXT(A348,"dd.m.rrrrr"),"'",L348,"'",B348,"'",L348,"'",C348,"'",L348,"'",D348,"'",L348,"'",E348,"'",L348,"'",F348,"'",L348,"'",G348,"'",L348,"'",H348,"'",L348,"'",I348,"'",")")</f>
        <v>('15.9.2023', '1', '1st round', 'PAR', 'Friday', 'Away', '1:5', '13', '0')</v>
      </c>
      <c r="W348" t="str">
        <f t="shared" si="5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'17'), ('04.11.2022', '18', '18 th round', 'KLA', 'Friday', 'Away', '2:3pp', '14', '18'), ('06.11.2022', '19', '19 th round', 'KVA', 'Sunday', 'Home', '5:3', '12', '21'), ('18.11.2022', '20', '20 th round', 'HRK', 'Friday', 'Away', '0:3', '13', '21'), ('20.11.2022', '21', '21 th round', 'BRN', 'Sunday', 'Home', '5:1', '11', '24'), ('25.11.2022', '22', '22 th round', 'TRI', 'Friday', 'Home', '1:2pp', '12', '25'), ('27.11.2022', '23', '23 th round', 'MBO', 'Sunday', 'Away', '4:6', '12', '25'), ('29.11.2022', '24', '24 th round', 'PLZ', 'Tuesday', 'Home', '2:4', '12', '25'), ('04.12.2022', '25', '26 th round', 'OLO', 'Sunday', 'Home', '5:3', '12', '28'), ('06.12.2022', '26', '25 th round', 'PAR', 'Tuesday', 'Away', '0:1', '12', '28'), ('09.12.2022', '27', '27 th round', 'VIT', 'Friday', 'Home', '5:3', '12', '31'), ('11.12.2022', '28', '28 th round', 'SPA', 'Sunday', 'Home', '5:2', '12', '34'), ('20.12.2022', '29', '29 th round', 'LIB', 'Tuesday', 'Home', '3:2sn', '11', '36'), ('22.12.2022', '30', '30 th round', 'BUD', 'Thursday', 'Away', '5:2', '11', '39'), ('26.12.2022', '31', '31 th round', 'KLA', 'Monday', 'Home', '2:3', '11', '39'), ('28.12.2022', '32', '32 th round', 'KVA', 'Wednesday', 'Away', '0:3', '11', '39'), ('30.12.2022', '33', '33 th round', 'HRK', 'Friday', 'Home', '2:3pp', '11', '40'), ('03.1.2023', '34', '34 th round', 'BRN', 'Tuesday', 'Away', '1:3', '12', '40'), ('06.1.2023', '35', '35 th round', 'TRI', 'Friday', 'Away', '2:3pp', '11', '41'), ('08.1.2023', '36', '36 th round', 'MBO', 'Sunday', 'Home', '4:3', '10', '44'), ('13.1.2023', '37', '37 th round', 'PLZ', 'Friday', 'Away', '1:4', '11', '44'), ('15.1.2023', '38', '38 th round', 'PAR', 'Sunday', 'Home', '1:2', '11', '44'), ('20.1.2023', '39', '39 th round', 'OLO', 'Friday', 'Away', '8:1', '10', '47'), ('22.1.2023', '40', '40 th round', 'VIT', 'Sunday', 'Away', '3:2sn', '11', '49'), ('25.1.2023', '41', '41 th round', 'SPA', 'Wednesday', 'Away', '2:3', '12', '49'), ('27.1.2023', '42', '42 th round', 'LIB', 'Friday', 'Away', '1:5', '13', '49'), ('29.1.2023', '43', '43 th round', 'BUD', 'Sunday', 'Home', '1:0sn', '12', '51'), ('03.2.2023', '44', '44 th round', 'KLA', 'Friday', 'Away', '2:5', '12', '51'), ('05.2.2023', '45', '45 th round', 'KVA', 'Sunday', 'Home', '1:2pp', '12', '52'), ('15.2.2023', '46', '46 th round', 'HRK', 'Wednesday', 'Away', '0:3', '12', '52'), ('17.2.2023', '47', '47 th round', 'BRN', 'Friday', 'Home', '3:2sn', '12', '54'), ('19.2.2023', '48', '48 th round', 'TRI', 'Sunday', 'Home', '4:3pp', '12', '56'), ('24.2.2023', '49', '49 th round', 'MBO', 'Friday', 'Away', '2:1', '12', '59'), ('26.2.2023', '50', '50 th round', 'PLZ', 'Sunday', 'Home', '2:1', '11', '62'), ('03.3.2023', '51', '51 th round', 'PAR', 'Friday', 'Away', '3:2sn', '12', '64'), ('05.3.2023', '52', '52 th round', 'OLO', 'Sunday', 'Home', '5:1', '11', '67'), ('08.3.2023', '53', 'Playoff 1st round ', 'TRI', 'Wednesday', 'Away', '1:3', '', ''), ('09.3.2023', '54', 'Playoff 1st round ', 'TRI', 'Thursday', 'Away', '4:5pp', '', ''), ('11.3.2023', '55', 'Playoff 1st round ', 'TRI', 'Saturday', 'Home', '2:4', '', ''), ('15.9.2023', '1', '1st round', 'PAR', 'Friday', 'Away', '1:5', '13', '0')</v>
      </c>
    </row>
    <row r="349" spans="1:23" x14ac:dyDescent="0.25">
      <c r="A349" s="2">
        <v>45186</v>
      </c>
      <c r="B349" s="1">
        <v>2</v>
      </c>
      <c r="C349" s="1" t="s">
        <v>65</v>
      </c>
      <c r="D349" s="1" t="s">
        <v>0</v>
      </c>
      <c r="E349" s="1" t="s">
        <v>57</v>
      </c>
      <c r="F349" s="1" t="s">
        <v>157</v>
      </c>
      <c r="G349" s="11" t="s">
        <v>188</v>
      </c>
      <c r="H349" s="1">
        <v>10</v>
      </c>
      <c r="I349" s="1">
        <v>3</v>
      </c>
      <c r="L349" t="s">
        <v>154</v>
      </c>
      <c r="M349" t="str">
        <f>CONCATENATE("(","'",TEXT(A349,"dd.m.rrrrr"),"'",L349,"'",B349,"'",L349,"'",C349,"'",L349,"'",D349,"'",L349,"'",E349,"'",L349,"'",F349,"'",L349,"'",G349,"'",L349,"'",H349,"'",L349,"'",I349,"'",")")</f>
        <v>('17.9.2023', '2', '2nd round', 'PLZ', 'Sunday', 'Home', '4:2', '10', '3')</v>
      </c>
      <c r="W349" t="str">
        <f t="shared" si="5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'17'), ('04.11.2022', '18', '18 th round', 'KLA', 'Friday', 'Away', '2:3pp', '14', '18'), ('06.11.2022', '19', '19 th round', 'KVA', 'Sunday', 'Home', '5:3', '12', '21'), ('18.11.2022', '20', '20 th round', 'HRK', 'Friday', 'Away', '0:3', '13', '21'), ('20.11.2022', '21', '21 th round', 'BRN', 'Sunday', 'Home', '5:1', '11', '24'), ('25.11.2022', '22', '22 th round', 'TRI', 'Friday', 'Home', '1:2pp', '12', '25'), ('27.11.2022', '23', '23 th round', 'MBO', 'Sunday', 'Away', '4:6', '12', '25'), ('29.11.2022', '24', '24 th round', 'PLZ', 'Tuesday', 'Home', '2:4', '12', '25'), ('04.12.2022', '25', '26 th round', 'OLO', 'Sunday', 'Home', '5:3', '12', '28'), ('06.12.2022', '26', '25 th round', 'PAR', 'Tuesday', 'Away', '0:1', '12', '28'), ('09.12.2022', '27', '27 th round', 'VIT', 'Friday', 'Home', '5:3', '12', '31'), ('11.12.2022', '28', '28 th round', 'SPA', 'Sunday', 'Home', '5:2', '12', '34'), ('20.12.2022', '29', '29 th round', 'LIB', 'Tuesday', 'Home', '3:2sn', '11', '36'), ('22.12.2022', '30', '30 th round', 'BUD', 'Thursday', 'Away', '5:2', '11', '39'), ('26.12.2022', '31', '31 th round', 'KLA', 'Monday', 'Home', '2:3', '11', '39'), ('28.12.2022', '32', '32 th round', 'KVA', 'Wednesday', 'Away', '0:3', '11', '39'), ('30.12.2022', '33', '33 th round', 'HRK', 'Friday', 'Home', '2:3pp', '11', '40'), ('03.1.2023', '34', '34 th round', 'BRN', 'Tuesday', 'Away', '1:3', '12', '40'), ('06.1.2023', '35', '35 th round', 'TRI', 'Friday', 'Away', '2:3pp', '11', '41'), ('08.1.2023', '36', '36 th round', 'MBO', 'Sunday', 'Home', '4:3', '10', '44'), ('13.1.2023', '37', '37 th round', 'PLZ', 'Friday', 'Away', '1:4', '11', '44'), ('15.1.2023', '38', '38 th round', 'PAR', 'Sunday', 'Home', '1:2', '11', '44'), ('20.1.2023', '39', '39 th round', 'OLO', 'Friday', 'Away', '8:1', '10', '47'), ('22.1.2023', '40', '40 th round', 'VIT', 'Sunday', 'Away', '3:2sn', '11', '49'), ('25.1.2023', '41', '41 th round', 'SPA', 'Wednesday', 'Away', '2:3', '12', '49'), ('27.1.2023', '42', '42 th round', 'LIB', 'Friday', 'Away', '1:5', '13', '49'), ('29.1.2023', '43', '43 th round', 'BUD', 'Sunday', 'Home', '1:0sn', '12', '51'), ('03.2.2023', '44', '44 th round', 'KLA', 'Friday', 'Away', '2:5', '12', '51'), ('05.2.2023', '45', '45 th round', 'KVA', 'Sunday', 'Home', '1:2pp', '12', '52'), ('15.2.2023', '46', '46 th round', 'HRK', 'Wednesday', 'Away', '0:3', '12', '52'), ('17.2.2023', '47', '47 th round', 'BRN', 'Friday', 'Home', '3:2sn', '12', '54'), ('19.2.2023', '48', '48 th round', 'TRI', 'Sunday', 'Home', '4:3pp', '12', '56'), ('24.2.2023', '49', '49 th round', 'MBO', 'Friday', 'Away', '2:1', '12', '59'), ('26.2.2023', '50', '50 th round', 'PLZ', 'Sunday', 'Home', '2:1', '11', '62'), ('03.3.2023', '51', '51 th round', 'PAR', 'Friday', 'Away', '3:2sn', '12', '64'), ('05.3.2023', '52', '52 th round', 'OLO', 'Sunday', 'Home', '5:1', '11', '67'), ('08.3.2023', '53', 'Playoff 1st round ', 'TRI', 'Wednesday', 'Away', '1:3', '', ''), ('09.3.2023', '54', 'Playoff 1st round ', 'TRI', 'Thursday', 'Away', '4:5pp', '', ''), ('11.3.2023', '55', 'Playoff 1st round ', 'TRI', 'Saturday', 'Home', '2:4', '', ''), ('15.9.2023', '1', '1st round', 'PAR', 'Friday', 'Away', '1:5', '13', '0'), ('17.9.2023', '2', '2nd round', 'PLZ', 'Sunday', 'Home', '4:2', '10', '3')</v>
      </c>
    </row>
    <row r="350" spans="1:23" x14ac:dyDescent="0.25">
      <c r="A350" s="2">
        <v>45191</v>
      </c>
      <c r="B350" s="1">
        <v>3</v>
      </c>
      <c r="C350" s="1" t="s">
        <v>66</v>
      </c>
      <c r="D350" s="1" t="s">
        <v>11</v>
      </c>
      <c r="E350" s="1" t="s">
        <v>55</v>
      </c>
      <c r="F350" s="1" t="s">
        <v>155</v>
      </c>
      <c r="G350" s="11" t="s">
        <v>180</v>
      </c>
      <c r="H350" s="1">
        <v>7</v>
      </c>
      <c r="I350" s="1">
        <v>6</v>
      </c>
      <c r="L350" t="s">
        <v>154</v>
      </c>
      <c r="M350" t="str">
        <f>CONCATENATE("(","'",TEXT(A350,"dd.m.rrrrr"),"'",L350,"'",B350,"'",L350,"'",C350,"'",L350,"'",D350,"'",L350,"'",E350,"'",L350,"'",F350,"'",L350,"'",G350,"'",L350,"'",H350,"'",L350,"'",I350,"'",")")</f>
        <v>('22.9.2023', '3', '3rd round', 'BRN', 'Friday', 'Away', '3:2', '7', '6')</v>
      </c>
      <c r="W350" t="str">
        <f t="shared" si="5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'17'), ('04.11.2022', '18', '18 th round', 'KLA', 'Friday', 'Away', '2:3pp', '14', '18'), ('06.11.2022', '19', '19 th round', 'KVA', 'Sunday', 'Home', '5:3', '12', '21'), ('18.11.2022', '20', '20 th round', 'HRK', 'Friday', 'Away', '0:3', '13', '21'), ('20.11.2022', '21', '21 th round', 'BRN', 'Sunday', 'Home', '5:1', '11', '24'), ('25.11.2022', '22', '22 th round', 'TRI', 'Friday', 'Home', '1:2pp', '12', '25'), ('27.11.2022', '23', '23 th round', 'MBO', 'Sunday', 'Away', '4:6', '12', '25'), ('29.11.2022', '24', '24 th round', 'PLZ', 'Tuesday', 'Home', '2:4', '12', '25'), ('04.12.2022', '25', '26 th round', 'OLO', 'Sunday', 'Home', '5:3', '12', '28'), ('06.12.2022', '26', '25 th round', 'PAR', 'Tuesday', 'Away', '0:1', '12', '28'), ('09.12.2022', '27', '27 th round', 'VIT', 'Friday', 'Home', '5:3', '12', '31'), ('11.12.2022', '28', '28 th round', 'SPA', 'Sunday', 'Home', '5:2', '12', '34'), ('20.12.2022', '29', '29 th round', 'LIB', 'Tuesday', 'Home', '3:2sn', '11', '36'), ('22.12.2022', '30', '30 th round', 'BUD', 'Thursday', 'Away', '5:2', '11', '39'), ('26.12.2022', '31', '31 th round', 'KLA', 'Monday', 'Home', '2:3', '11', '39'), ('28.12.2022', '32', '32 th round', 'KVA', 'Wednesday', 'Away', '0:3', '11', '39'), ('30.12.2022', '33', '33 th round', 'HRK', 'Friday', 'Home', '2:3pp', '11', '40'), ('03.1.2023', '34', '34 th round', 'BRN', 'Tuesday', 'Away', '1:3', '12', '40'), ('06.1.2023', '35', '35 th round', 'TRI', 'Friday', 'Away', '2:3pp', '11', '41'), ('08.1.2023', '36', '36 th round', 'MBO', 'Sunday', 'Home', '4:3', '10', '44'), ('13.1.2023', '37', '37 th round', 'PLZ', 'Friday', 'Away', '1:4', '11', '44'), ('15.1.2023', '38', '38 th round', 'PAR', 'Sunday', 'Home', '1:2', '11', '44'), ('20.1.2023', '39', '39 th round', 'OLO', 'Friday', 'Away', '8:1', '10', '47'), ('22.1.2023', '40', '40 th round', 'VIT', 'Sunday', 'Away', '3:2sn', '11', '49'), ('25.1.2023', '41', '41 th round', 'SPA', 'Wednesday', 'Away', '2:3', '12', '49'), ('27.1.2023', '42', '42 th round', 'LIB', 'Friday', 'Away', '1:5', '13', '49'), ('29.1.2023', '43', '43 th round', 'BUD', 'Sunday', 'Home', '1:0sn', '12', '51'), ('03.2.2023', '44', '44 th round', 'KLA', 'Friday', 'Away', '2:5', '12', '51'), ('05.2.2023', '45', '45 th round', 'KVA', 'Sunday', 'Home', '1:2pp', '12', '52'), ('15.2.2023', '46', '46 th round', 'HRK', 'Wednesday', 'Away', '0:3', '12', '52'), ('17.2.2023', '47', '47 th round', 'BRN', 'Friday', 'Home', '3:2sn', '12', '54'), ('19.2.2023', '48', '48 th round', 'TRI', 'Sunday', 'Home', '4:3pp', '12', '56'), ('24.2.2023', '49', '49 th round', 'MBO', 'Friday', 'Away', '2:1', '12', '59'), ('26.2.2023', '50', '50 th round', 'PLZ', 'Sunday', 'Home', '2:1', '11', '62'), ('03.3.2023', '51', '51 th round', 'PAR', 'Friday', 'Away', '3:2sn', '12', '64'), ('05.3.2023', '52', '52 th round', 'OLO', 'Sunday', 'Home', '5:1', '11', '67'), ('08.3.2023', '53', 'Playoff 1st round ', 'TRI', 'Wednesday', 'Away', '1:3', '', ''), ('09.3.2023', '54', 'Playoff 1st round ', 'TRI', 'Thursday', 'Away', '4:5pp', '', ''), ('11.3.2023', '55', 'Playoff 1st round ', 'TRI', 'Saturday', 'Home', '2:4', '', ''), ('15.9.2023', '1', '1st round', 'PAR', 'Friday', 'Away', '1:5', '13', '0'), ('17.9.2023', '2', '2nd round', 'PLZ', 'Sunday', 'Home', '4:2', '10', '3'), ('22.9.2023', '3', '3rd round', 'BRN', 'Friday', 'Away', '3:2', '7', '6')</v>
      </c>
    </row>
    <row r="351" spans="1:23" x14ac:dyDescent="0.25">
      <c r="A351" s="2">
        <v>45193</v>
      </c>
      <c r="B351" s="1">
        <v>4</v>
      </c>
      <c r="C351" s="1" t="s">
        <v>92</v>
      </c>
      <c r="D351" s="1" t="s">
        <v>1</v>
      </c>
      <c r="E351" s="1" t="s">
        <v>57</v>
      </c>
      <c r="F351" s="1" t="s">
        <v>157</v>
      </c>
      <c r="G351" s="11" t="s">
        <v>187</v>
      </c>
      <c r="H351" s="1">
        <v>3</v>
      </c>
      <c r="I351" s="1">
        <v>9</v>
      </c>
      <c r="L351" t="s">
        <v>154</v>
      </c>
      <c r="M351" t="str">
        <f>CONCATENATE("(","'",TEXT(A351,"dd.m.rrrrr"),"'",L351,"'",B351,"'",L351,"'",C351,"'",L351,"'",D351,"'",L351,"'",E351,"'",L351,"'",F351,"'",L351,"'",G351,"'",L351,"'",H351,"'",L351,"'",I351,"'",")")</f>
        <v>('24.9.2023', '4', '4 th round', 'LIB', 'Sunday', 'Home', '4:1', '3', '9')</v>
      </c>
      <c r="W351" t="str">
        <f t="shared" si="5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'17'), ('04.11.2022', '18', '18 th round', 'KLA', 'Friday', 'Away', '2:3pp', '14', '18'), ('06.11.2022', '19', '19 th round', 'KVA', 'Sunday', 'Home', '5:3', '12', '21'), ('18.11.2022', '20', '20 th round', 'HRK', 'Friday', 'Away', '0:3', '13', '21'), ('20.11.2022', '21', '21 th round', 'BRN', 'Sunday', 'Home', '5:1', '11', '24'), ('25.11.2022', '22', '22 th round', 'TRI', 'Friday', 'Home', '1:2pp', '12', '25'), ('27.11.2022', '23', '23 th round', 'MBO', 'Sunday', 'Away', '4:6', '12', '25'), ('29.11.2022', '24', '24 th round', 'PLZ', 'Tuesday', 'Home', '2:4', '12', '25'), ('04.12.2022', '25', '26 th round', 'OLO', 'Sunday', 'Home', '5:3', '12', '28'), ('06.12.2022', '26', '25 th round', 'PAR', 'Tuesday', 'Away', '0:1', '12', '28'), ('09.12.2022', '27', '27 th round', 'VIT', 'Friday', 'Home', '5:3', '12', '31'), ('11.12.2022', '28', '28 th round', 'SPA', 'Sunday', 'Home', '5:2', '12', '34'), ('20.12.2022', '29', '29 th round', 'LIB', 'Tuesday', 'Home', '3:2sn', '11', '36'), ('22.12.2022', '30', '30 th round', 'BUD', 'Thursday', 'Away', '5:2', '11', '39'), ('26.12.2022', '31', '31 th round', 'KLA', 'Monday', 'Home', '2:3', '11', '39'), ('28.12.2022', '32', '32 th round', 'KVA', 'Wednesday', 'Away', '0:3', '11', '39'), ('30.12.2022', '33', '33 th round', 'HRK', 'Friday', 'Home', '2:3pp', '11', '40'), ('03.1.2023', '34', '34 th round', 'BRN', 'Tuesday', 'Away', '1:3', '12', '40'), ('06.1.2023', '35', '35 th round', 'TRI', 'Friday', 'Away', '2:3pp', '11', '41'), ('08.1.2023', '36', '36 th round', 'MBO', 'Sunday', 'Home', '4:3', '10', '44'), ('13.1.2023', '37', '37 th round', 'PLZ', 'Friday', 'Away', '1:4', '11', '44'), ('15.1.2023', '38', '38 th round', 'PAR', 'Sunday', 'Home', '1:2', '11', '44'), ('20.1.2023', '39', '39 th round', 'OLO', 'Friday', 'Away', '8:1', '10', '47'), ('22.1.2023', '40', '40 th round', 'VIT', 'Sunday', 'Away', '3:2sn', '11', '49'), ('25.1.2023', '41', '41 th round', 'SPA', 'Wednesday', 'Away', '2:3', '12', '49'), ('27.1.2023', '42', '42 th round', 'LIB', 'Friday', 'Away', '1:5', '13', '49'), ('29.1.2023', '43', '43 th round', 'BUD', 'Sunday', 'Home', '1:0sn', '12', '51'), ('03.2.2023', '44', '44 th round', 'KLA', 'Friday', 'Away', '2:5', '12', '51'), ('05.2.2023', '45', '45 th round', 'KVA', 'Sunday', 'Home', '1:2pp', '12', '52'), ('15.2.2023', '46', '46 th round', 'HRK', 'Wednesday', 'Away', '0:3', '12', '52'), ('17.2.2023', '47', '47 th round', 'BRN', 'Friday', 'Home', '3:2sn', '12', '54'), ('19.2.2023', '48', '48 th round', 'TRI', 'Sunday', 'Home', '4:3pp', '12', '56'), ('24.2.2023', '49', '49 th round', 'MBO', 'Friday', 'Away', '2:1', '12', '59'), ('26.2.2023', '50', '50 th round', 'PLZ', 'Sunday', 'Home', '2:1', '11', '62'), ('03.3.2023', '51', '51 th round', 'PAR', 'Friday', 'Away', '3:2sn', '12', '64'), ('05.3.2023', '52', '52 th round', 'OLO', 'Sunday', 'Home', '5:1', '11', '67'), ('08.3.2023', '53', 'Playoff 1st round ', 'TRI', 'Wednesday', 'Away', '1:3', '', ''), ('09.3.2023', '54', 'Playoff 1st round ', 'TRI', 'Thursday', 'Away', '4:5pp', '', ''), ('11.3.2023', '55', 'Playoff 1st round ', 'TRI', 'Saturday', 'Home', '2:4', '', ''), ('15.9.2023', '1', '1st round', 'PAR', 'Friday', 'Away', '1:5', '13', '0'), ('17.9.2023', '2', '2nd round', 'PLZ', 'Sunday', 'Home', '4:2', '10', '3'), ('22.9.2023', '3', '3rd round', 'BRN', 'Friday', 'Away', '3:2', '7', '6'), ('24.9.2023', '4', '4 th round', 'LIB', 'Sunday', 'Home', '4:1', '3', '9')</v>
      </c>
    </row>
    <row r="352" spans="1:23" x14ac:dyDescent="0.25">
      <c r="A352" s="2">
        <v>45196</v>
      </c>
      <c r="B352" s="1">
        <v>5</v>
      </c>
      <c r="C352" s="1" t="s">
        <v>93</v>
      </c>
      <c r="D352" s="1" t="s">
        <v>2</v>
      </c>
      <c r="E352" s="1" t="s">
        <v>60</v>
      </c>
      <c r="F352" s="1" t="s">
        <v>155</v>
      </c>
      <c r="G352" s="3" t="s">
        <v>32</v>
      </c>
      <c r="H352" s="1">
        <v>3</v>
      </c>
      <c r="I352" s="1">
        <v>11</v>
      </c>
      <c r="L352" t="s">
        <v>154</v>
      </c>
      <c r="M352" t="str">
        <f>CONCATENATE("(","'",TEXT(A352,"dd.m.rrrrr"),"'",L352,"'",B352,"'",L352,"'",C352,"'",L352,"'",D352,"'",L352,"'",E352,"'",L352,"'",F352,"'",L352,"'",G352,"'",L352,"'",H352,"'",L352,"'",I352,"'",")")</f>
        <v>('27.9.2023', '5', '5 th round', 'HRK', 'Wednesday', 'Away', '3:2sn', '3', '11')</v>
      </c>
      <c r="W352" t="str">
        <f t="shared" si="5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'17'), ('04.11.2022', '18', '18 th round', 'KLA', 'Friday', 'Away', '2:3pp', '14', '18'), ('06.11.2022', '19', '19 th round', 'KVA', 'Sunday', 'Home', '5:3', '12', '21'), ('18.11.2022', '20', '20 th round', 'HRK', 'Friday', 'Away', '0:3', '13', '21'), ('20.11.2022', '21', '21 th round', 'BRN', 'Sunday', 'Home', '5:1', '11', '24'), ('25.11.2022', '22', '22 th round', 'TRI', 'Friday', 'Home', '1:2pp', '12', '25'), ('27.11.2022', '23', '23 th round', 'MBO', 'Sunday', 'Away', '4:6', '12', '25'), ('29.11.2022', '24', '24 th round', 'PLZ', 'Tuesday', 'Home', '2:4', '12', '25'), ('04.12.2022', '25', '26 th round', 'OLO', 'Sunday', 'Home', '5:3', '12', '28'), ('06.12.2022', '26', '25 th round', 'PAR', 'Tuesday', 'Away', '0:1', '12', '28'), ('09.12.2022', '27', '27 th round', 'VIT', 'Friday', 'Home', '5:3', '12', '31'), ('11.12.2022', '28', '28 th round', 'SPA', 'Sunday', 'Home', '5:2', '12', '34'), ('20.12.2022', '29', '29 th round', 'LIB', 'Tuesday', 'Home', '3:2sn', '11', '36'), ('22.12.2022', '30', '30 th round', 'BUD', 'Thursday', 'Away', '5:2', '11', '39'), ('26.12.2022', '31', '31 th round', 'KLA', 'Monday', 'Home', '2:3', '11', '39'), ('28.12.2022', '32', '32 th round', 'KVA', 'Wednesday', 'Away', '0:3', '11', '39'), ('30.12.2022', '33', '33 th round', 'HRK', 'Friday', 'Home', '2:3pp', '11', '40'), ('03.1.2023', '34', '34 th round', 'BRN', 'Tuesday', 'Away', '1:3', '12', '40'), ('06.1.2023', '35', '35 th round', 'TRI', 'Friday', 'Away', '2:3pp', '11', '41'), ('08.1.2023', '36', '36 th round', 'MBO', 'Sunday', 'Home', '4:3', '10', '44'), ('13.1.2023', '37', '37 th round', 'PLZ', 'Friday', 'Away', '1:4', '11', '44'), ('15.1.2023', '38', '38 th round', 'PAR', 'Sunday', 'Home', '1:2', '11', '44'), ('20.1.2023', '39', '39 th round', 'OLO', 'Friday', 'Away', '8:1', '10', '47'), ('22.1.2023', '40', '40 th round', 'VIT', 'Sunday', 'Away', '3:2sn', '11', '49'), ('25.1.2023', '41', '41 th round', 'SPA', 'Wednesday', 'Away', '2:3', '12', '49'), ('27.1.2023', '42', '42 th round', 'LIB', 'Friday', 'Away', '1:5', '13', '49'), ('29.1.2023', '43', '43 th round', 'BUD', 'Sunday', 'Home', '1:0sn', '12', '51'), ('03.2.2023', '44', '44 th round', 'KLA', 'Friday', 'Away', '2:5', '12', '51'), ('05.2.2023', '45', '45 th round', 'KVA', 'Sunday', 'Home', '1:2pp', '12', '52'), ('15.2.2023', '46', '46 th round', 'HRK', 'Wednesday', 'Away', '0:3', '12', '52'), ('17.2.2023', '47', '47 th round', 'BRN', 'Friday', 'Home', '3:2sn', '12', '54'), ('19.2.2023', '48', '48 th round', 'TRI', 'Sunday', 'Home', '4:3pp', '12', '56'), ('24.2.2023', '49', '49 th round', 'MBO', 'Friday', 'Away', '2:1', '12', '59'), ('26.2.2023', '50', '50 th round', 'PLZ', 'Sunday', 'Home', '2:1', '11', '62'), ('03.3.2023', '51', '51 th round', 'PAR', 'Friday', 'Away', '3:2sn', '12', '64'), ('05.3.2023', '52', '52 th round', 'OLO', 'Sunday', 'Home', '5:1', '11', '67'), ('08.3.2023', '53', 'Playoff 1st round ', 'TRI', 'Wednesday', 'Away', '1:3', '', ''), ('09.3.2023', '54', 'Playoff 1st round ', 'TRI', 'Thursday', 'Away', '4:5pp', '', ''), ('11.3.2023', '55', 'Playoff 1st round ', 'TRI', 'Saturday', 'Home', '2:4', '', ''), ('15.9.2023', '1', '1st round', 'PAR', 'Friday', 'Away', '1:5', '13', '0'), ('17.9.2023', '2', '2nd round', 'PLZ', 'Sunday', 'Home', '4:2', '10', '3'), ('22.9.2023', '3', '3rd round', 'BRN', 'Friday', 'Away', '3:2', '7', '6'), ('24.9.2023', '4', '4 th round', 'LIB', 'Sunday', 'Home', '4:1', '3', '9'), ('27.9.2023', '5', '5 th round', 'HRK', 'Wednesday', 'Away', '3:2sn', '3', '11')</v>
      </c>
    </row>
    <row r="353" spans="1:23" x14ac:dyDescent="0.25">
      <c r="A353" s="2">
        <v>45198</v>
      </c>
      <c r="B353" s="1">
        <v>6</v>
      </c>
      <c r="C353" s="1" t="s">
        <v>94</v>
      </c>
      <c r="D353" s="1" t="s">
        <v>7</v>
      </c>
      <c r="E353" s="1" t="s">
        <v>55</v>
      </c>
      <c r="F353" s="1" t="s">
        <v>157</v>
      </c>
      <c r="G353" s="11" t="s">
        <v>196</v>
      </c>
      <c r="H353" s="1">
        <v>3</v>
      </c>
      <c r="I353" s="1">
        <v>14</v>
      </c>
      <c r="L353" t="s">
        <v>154</v>
      </c>
      <c r="M353" t="str">
        <f>CONCATENATE("(","'",TEXT(A353,"dd.m.rrrrr"),"'",L353,"'",B353,"'",L353,"'",C353,"'",L353,"'",D353,"'",L353,"'",E353,"'",L353,"'",F353,"'",L353,"'",G353,"'",L353,"'",H353,"'",L353,"'",I353,"'",")")</f>
        <v>('29.9.2023', '6', '6 th round', 'MBO', 'Friday', 'Home', '5:2', '3', '14')</v>
      </c>
      <c r="W353" t="str">
        <f t="shared" si="5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'17'), ('04.11.2022', '18', '18 th round', 'KLA', 'Friday', 'Away', '2:3pp', '14', '18'), ('06.11.2022', '19', '19 th round', 'KVA', 'Sunday', 'Home', '5:3', '12', '21'), ('18.11.2022', '20', '20 th round', 'HRK', 'Friday', 'Away', '0:3', '13', '21'), ('20.11.2022', '21', '21 th round', 'BRN', 'Sunday', 'Home', '5:1', '11', '24'), ('25.11.2022', '22', '22 th round', 'TRI', 'Friday', 'Home', '1:2pp', '12', '25'), ('27.11.2022', '23', '23 th round', 'MBO', 'Sunday', 'Away', '4:6', '12', '25'), ('29.11.2022', '24', '24 th round', 'PLZ', 'Tuesday', 'Home', '2:4', '12', '25'), ('04.12.2022', '25', '26 th round', 'OLO', 'Sunday', 'Home', '5:3', '12', '28'), ('06.12.2022', '26', '25 th round', 'PAR', 'Tuesday', 'Away', '0:1', '12', '28'), ('09.12.2022', '27', '27 th round', 'VIT', 'Friday', 'Home', '5:3', '12', '31'), ('11.12.2022', '28', '28 th round', 'SPA', 'Sunday', 'Home', '5:2', '12', '34'), ('20.12.2022', '29', '29 th round', 'LIB', 'Tuesday', 'Home', '3:2sn', '11', '36'), ('22.12.2022', '30', '30 th round', 'BUD', 'Thursday', 'Away', '5:2', '11', '39'), ('26.12.2022', '31', '31 th round', 'KLA', 'Monday', 'Home', '2:3', '11', '39'), ('28.12.2022', '32', '32 th round', 'KVA', 'Wednesday', 'Away', '0:3', '11', '39'), ('30.12.2022', '33', '33 th round', 'HRK', 'Friday', 'Home', '2:3pp', '11', '40'), ('03.1.2023', '34', '34 th round', 'BRN', 'Tuesday', 'Away', '1:3', '12', '40'), ('06.1.2023', '35', '35 th round', 'TRI', 'Friday', 'Away', '2:3pp', '11', '41'), ('08.1.2023', '36', '36 th round', 'MBO', 'Sunday', 'Home', '4:3', '10', '44'), ('13.1.2023', '37', '37 th round', 'PLZ', 'Friday', 'Away', '1:4', '11', '44'), ('15.1.2023', '38', '38 th round', 'PAR', 'Sunday', 'Home', '1:2', '11', '44'), ('20.1.2023', '39', '39 th round', 'OLO', 'Friday', 'Away', '8:1', '10', '47'), ('22.1.2023', '40', '40 th round', 'VIT', 'Sunday', 'Away', '3:2sn', '11', '49'), ('25.1.2023', '41', '41 th round', 'SPA', 'Wednesday', 'Away', '2:3', '12', '49'), ('27.1.2023', '42', '42 th round', 'LIB', 'Friday', 'Away', '1:5', '13', '49'), ('29.1.2023', '43', '43 th round', 'BUD', 'Sunday', 'Home', '1:0sn', '12', '51'), ('03.2.2023', '44', '44 th round', 'KLA', 'Friday', 'Away', '2:5', '12', '51'), ('05.2.2023', '45', '45 th round', 'KVA', 'Sunday', 'Home', '1:2pp', '12', '52'), ('15.2.2023', '46', '46 th round', 'HRK', 'Wednesday', 'Away', '0:3', '12', '52'), ('17.2.2023', '47', '47 th round', 'BRN', 'Friday', 'Home', '3:2sn', '12', '54'), ('19.2.2023', '48', '48 th round', 'TRI', 'Sunday', 'Home', '4:3pp', '12', '56'), ('24.2.2023', '49', '49 th round', 'MBO', 'Friday', 'Away', '2:1', '12', '59'), ('26.2.2023', '50', '50 th round', 'PLZ', 'Sunday', 'Home', '2:1', '11', '62'), ('03.3.2023', '51', '51 th round', 'PAR', 'Friday', 'Away', '3:2sn', '12', '64'), ('05.3.2023', '52', '52 th round', 'OLO', 'Sunday', 'Home', '5:1', '11', '67'), ('08.3.2023', '53', 'Playoff 1st round ', 'TRI', 'Wednesday', 'Away', '1:3', '', ''), ('09.3.2023', '54', 'Playoff 1st round ', 'TRI', 'Thursday', 'Away', '4:5pp', '', ''), ('11.3.2023', '55', 'Playoff 1st round ', 'TRI', 'Saturday', 'Home', '2:4', '', ''), ('15.9.2023', '1', '1st round', 'PAR', 'Friday', 'Away', '1:5', '13', '0'), ('17.9.2023', '2', '2nd round', 'PLZ', 'Sunday', 'Home', '4:2', '10', '3'), ('22.9.2023', '3', '3rd round', 'BRN', 'Friday', 'Away', '3:2', '7', '6'), ('24.9.2023', '4', '4 th round', 'LIB', 'Sunday', 'Home', '4:1', '3', '9'), ('27.9.2023', '5', '5 th round', 'HRK', 'Wednesday', 'Away', '3:2sn', '3', '11'), ('29.9.2023', '6', '6 th round', 'MBO', 'Friday', 'Home', '5:2', '3', '14')</v>
      </c>
    </row>
    <row r="354" spans="1:23" x14ac:dyDescent="0.25">
      <c r="A354" s="2">
        <v>45200</v>
      </c>
      <c r="B354" s="1">
        <v>7</v>
      </c>
      <c r="C354" s="1" t="s">
        <v>95</v>
      </c>
      <c r="D354" s="1" t="s">
        <v>6</v>
      </c>
      <c r="E354" s="1" t="s">
        <v>57</v>
      </c>
      <c r="F354" s="1" t="s">
        <v>157</v>
      </c>
      <c r="G354" s="11" t="s">
        <v>203</v>
      </c>
      <c r="H354" s="1">
        <v>2</v>
      </c>
      <c r="I354" s="1">
        <v>17</v>
      </c>
      <c r="L354" t="s">
        <v>154</v>
      </c>
      <c r="M354" t="str">
        <f>CONCATENATE("(","'",TEXT(A354,"dd.m.rrrrr"),"'",L354,"'",B354,"'",L354,"'",C354,"'",L354,"'",D354,"'",L354,"'",E354,"'",L354,"'",F354,"'",L354,"'",G354,"'",L354,"'",H354,"'",L354,"'",I354,"'",")")</f>
        <v>('01.10.2023', '7', '7 th round', 'TRI', 'Sunday', 'Home', '6:4', '2', '17')</v>
      </c>
      <c r="W354" t="str">
        <f t="shared" si="5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'17'), ('04.11.2022', '18', '18 th round', 'KLA', 'Friday', 'Away', '2:3pp', '14', '18'), ('06.11.2022', '19', '19 th round', 'KVA', 'Sunday', 'Home', '5:3', '12', '21'), ('18.11.2022', '20', '20 th round', 'HRK', 'Friday', 'Away', '0:3', '13', '21'), ('20.11.2022', '21', '21 th round', 'BRN', 'Sunday', 'Home', '5:1', '11', '24'), ('25.11.2022', '22', '22 th round', 'TRI', 'Friday', 'Home', '1:2pp', '12', '25'), ('27.11.2022', '23', '23 th round', 'MBO', 'Sunday', 'Away', '4:6', '12', '25'), ('29.11.2022', '24', '24 th round', 'PLZ', 'Tuesday', 'Home', '2:4', '12', '25'), ('04.12.2022', '25', '26 th round', 'OLO', 'Sunday', 'Home', '5:3', '12', '28'), ('06.12.2022', '26', '25 th round', 'PAR', 'Tuesday', 'Away', '0:1', '12', '28'), ('09.12.2022', '27', '27 th round', 'VIT', 'Friday', 'Home', '5:3', '12', '31'), ('11.12.2022', '28', '28 th round', 'SPA', 'Sunday', 'Home', '5:2', '12', '34'), ('20.12.2022', '29', '29 th round', 'LIB', 'Tuesday', 'Home', '3:2sn', '11', '36'), ('22.12.2022', '30', '30 th round', 'BUD', 'Thursday', 'Away', '5:2', '11', '39'), ('26.12.2022', '31', '31 th round', 'KLA', 'Monday', 'Home', '2:3', '11', '39'), ('28.12.2022', '32', '32 th round', 'KVA', 'Wednesday', 'Away', '0:3', '11', '39'), ('30.12.2022', '33', '33 th round', 'HRK', 'Friday', 'Home', '2:3pp', '11', '40'), ('03.1.2023', '34', '34 th round', 'BRN', 'Tuesday', 'Away', '1:3', '12', '40'), ('06.1.2023', '35', '35 th round', 'TRI', 'Friday', 'Away', '2:3pp', '11', '41'), ('08.1.2023', '36', '36 th round', 'MBO', 'Sunday', 'Home', '4:3', '10', '44'), ('13.1.2023', '37', '37 th round', 'PLZ', 'Friday', 'Away', '1:4', '11', '44'), ('15.1.2023', '38', '38 th round', 'PAR', 'Sunday', 'Home', '1:2', '11', '44'), ('20.1.2023', '39', '39 th round', 'OLO', 'Friday', 'Away', '8:1', '10', '47'), ('22.1.2023', '40', '40 th round', 'VIT', 'Sunday', 'Away', '3:2sn', '11', '49'), ('25.1.2023', '41', '41 th round', 'SPA', 'Wednesday', 'Away', '2:3', '12', '49'), ('27.1.2023', '42', '42 th round', 'LIB', 'Friday', 'Away', '1:5', '13', '49'), ('29.1.2023', '43', '43 th round', 'BUD', 'Sunday', 'Home', '1:0sn', '12', '51'), ('03.2.2023', '44', '44 th round', 'KLA', 'Friday', 'Away', '2:5', '12', '51'), ('05.2.2023', '45', '45 th round', 'KVA', 'Sunday', 'Home', '1:2pp', '12', '52'), ('15.2.2023', '46', '46 th round', 'HRK', 'Wednesday', 'Away', '0:3', '12', '52'), ('17.2.2023', '47', '47 th round', 'BRN', 'Friday', 'Home', '3:2sn', '12', '54'), ('19.2.2023', '48', '48 th round', 'TRI', 'Sunday', 'Home', '4:3pp', '12', '56'), ('24.2.2023', '49', '49 th round', 'MBO', 'Friday', 'Away', '2:1', '12', '59'), ('26.2.2023', '50', '50 th round', 'PLZ', 'Sunday', 'Home', '2:1', '11', '62'), ('03.3.2023', '51', '51 th round', 'PAR', 'Friday', 'Away', '3:2sn', '12', '64'), ('05.3.2023', '52', '52 th round', 'OLO', 'Sunday', 'Home', '5:1', '11', '67'), ('08.3.2023', '53', 'Playoff 1st round ', 'TRI', 'Wednesday', 'Away', '1:3', '', ''), ('09.3.2023', '54', 'Playoff 1st round ', 'TRI', 'Thursday', 'Away', '4:5pp', '', ''), ('11.3.2023', '55', 'Playoff 1st round ', 'TRI', 'Saturday', 'Home', '2:4', '', ''), ('15.9.2023', '1', '1st round', 'PAR', 'Friday', 'Away', '1:5', '13', '0'), ('17.9.2023', '2', '2nd round', 'PLZ', 'Sunday', 'Home', '4:2', '10', '3'), ('22.9.2023', '3', '3rd round', 'BRN', 'Friday', 'Away', '3:2', '7', '6'), ('24.9.2023', '4', '4 th round', 'LIB', 'Sunday', 'Home', '4:1', '3', '9'), ('27.9.2023', '5', '5 th round', 'HRK', 'Wednesday', 'Away', '3:2sn', '3', '11'), ('29.9.2023', '6', '6 th round', 'MBO', 'Friday', 'Home', '5:2', '3', '14'), ('01.10.2023', '7', '7 th round', 'TRI', 'Sunday', 'Home', '6:4', '2', '17')</v>
      </c>
    </row>
    <row r="355" spans="1:23" x14ac:dyDescent="0.25">
      <c r="A355" s="2">
        <v>45205</v>
      </c>
      <c r="B355" s="1">
        <v>8</v>
      </c>
      <c r="C355" s="1" t="s">
        <v>96</v>
      </c>
      <c r="D355" s="1" t="s">
        <v>27</v>
      </c>
      <c r="E355" s="1" t="s">
        <v>55</v>
      </c>
      <c r="F355" s="1" t="s">
        <v>155</v>
      </c>
      <c r="G355" s="11" t="s">
        <v>187</v>
      </c>
      <c r="H355" s="1">
        <v>2</v>
      </c>
      <c r="I355" s="1">
        <v>20</v>
      </c>
      <c r="L355" t="s">
        <v>154</v>
      </c>
      <c r="M355" t="str">
        <f>CONCATENATE("(","'",TEXT(A355,"dd.m.rrrrr"),"'",L355,"'",B355,"'",L355,"'",C355,"'",L355,"'",D355,"'",L355,"'",E355,"'",L355,"'",F355,"'",L355,"'",G355,"'",L355,"'",H355,"'",L355,"'",I355,"'",")")</f>
        <v>('06.10.2023', '8', '8 th round', 'KVA', 'Friday', 'Away', '4:1', '2', '20')</v>
      </c>
      <c r="W355" t="str">
        <f t="shared" si="5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'17'), ('04.11.2022', '18', '18 th round', 'KLA', 'Friday', 'Away', '2:3pp', '14', '18'), ('06.11.2022', '19', '19 th round', 'KVA', 'Sunday', 'Home', '5:3', '12', '21'), ('18.11.2022', '20', '20 th round', 'HRK', 'Friday', 'Away', '0:3', '13', '21'), ('20.11.2022', '21', '21 th round', 'BRN', 'Sunday', 'Home', '5:1', '11', '24'), ('25.11.2022', '22', '22 th round', 'TRI', 'Friday', 'Home', '1:2pp', '12', '25'), ('27.11.2022', '23', '23 th round', 'MBO', 'Sunday', 'Away', '4:6', '12', '25'), ('29.11.2022', '24', '24 th round', 'PLZ', 'Tuesday', 'Home', '2:4', '12', '25'), ('04.12.2022', '25', '26 th round', 'OLO', 'Sunday', 'Home', '5:3', '12', '28'), ('06.12.2022', '26', '25 th round', 'PAR', 'Tuesday', 'Away', '0:1', '12', '28'), ('09.12.2022', '27', '27 th round', 'VIT', 'Friday', 'Home', '5:3', '12', '31'), ('11.12.2022', '28', '28 th round', 'SPA', 'Sunday', 'Home', '5:2', '12', '34'), ('20.12.2022', '29', '29 th round', 'LIB', 'Tuesday', 'Home', '3:2sn', '11', '36'), ('22.12.2022', '30', '30 th round', 'BUD', 'Thursday', 'Away', '5:2', '11', '39'), ('26.12.2022', '31', '31 th round', 'KLA', 'Monday', 'Home', '2:3', '11', '39'), ('28.12.2022', '32', '32 th round', 'KVA', 'Wednesday', 'Away', '0:3', '11', '39'), ('30.12.2022', '33', '33 th round', 'HRK', 'Friday', 'Home', '2:3pp', '11', '40'), ('03.1.2023', '34', '34 th round', 'BRN', 'Tuesday', 'Away', '1:3', '12', '40'), ('06.1.2023', '35', '35 th round', 'TRI', 'Friday', 'Away', '2:3pp', '11', '41'), ('08.1.2023', '36', '36 th round', 'MBO', 'Sunday', 'Home', '4:3', '10', '44'), ('13.1.2023', '37', '37 th round', 'PLZ', 'Friday', 'Away', '1:4', '11', '44'), ('15.1.2023', '38', '38 th round', 'PAR', 'Sunday', 'Home', '1:2', '11', '44'), ('20.1.2023', '39', '39 th round', 'OLO', 'Friday', 'Away', '8:1', '10', '47'), ('22.1.2023', '40', '40 th round', 'VIT', 'Sunday', 'Away', '3:2sn', '11', '49'), ('25.1.2023', '41', '41 th round', 'SPA', 'Wednesday', 'Away', '2:3', '12', '49'), ('27.1.2023', '42', '42 th round', 'LIB', 'Friday', 'Away', '1:5', '13', '49'), ('29.1.2023', '43', '43 th round', 'BUD', 'Sunday', 'Home', '1:0sn', '12', '51'), ('03.2.2023', '44', '44 th round', 'KLA', 'Friday', 'Away', '2:5', '12', '51'), ('05.2.2023', '45', '45 th round', 'KVA', 'Sunday', 'Home', '1:2pp', '12', '52'), ('15.2.2023', '46', '46 th round', 'HRK', 'Wednesday', 'Away', '0:3', '12', '52'), ('17.2.2023', '47', '47 th round', 'BRN', 'Friday', 'Home', '3:2sn', '12', '54'), ('19.2.2023', '48', '48 th round', 'TRI', 'Sunday', 'Home', '4:3pp', '12', '56'), ('24.2.2023', '49', '49 th round', 'MBO', 'Friday', 'Away', '2:1', '12', '59'), ('26.2.2023', '50', '50 th round', 'PLZ', 'Sunday', 'Home', '2:1', '11', '62'), ('03.3.2023', '51', '51 th round', 'PAR', 'Friday', 'Away', '3:2sn', '12', '64'), ('05.3.2023', '52', '52 th round', 'OLO', 'Sunday', 'Home', '5:1', '11', '67'), ('08.3.2023', '53', 'Playoff 1st round ', 'TRI', 'Wednesday', 'Away', '1:3', '', ''), ('09.3.2023', '54', 'Playoff 1st round ', 'TRI', 'Thursday', 'Away', '4:5pp', '', ''), ('11.3.2023', '55', 'Playoff 1st round ', 'TRI', 'Saturday', 'Home', '2:4', '', ''), ('15.9.2023', '1', '1st round', 'PAR', 'Friday', 'Away', '1:5', '13', '0'), ('17.9.2023', '2', '2nd round', 'PLZ', 'Sunday', 'Home', '4:2', '10', '3'), ('22.9.2023', '3', '3rd round', 'BRN', 'Friday', 'Away', '3:2', '7', '6'), ('24.9.2023', '4', '4 th round', 'LIB', 'Sunday', 'Home', '4:1', '3', '9'), ('27.9.2023', '5', '5 th round', 'HRK', 'Wednesday', 'Away', '3:2sn', '3', '11'), ('29.9.2023', '6', '6 th round', 'MBO', 'Friday', 'Home', '5:2', '3', '14'), ('01.10.2023', '7', '7 th round', 'TRI', 'Sunday', 'Home', '6:4', '2', '17'), ('06.10.2023', '8', '8 th round', 'KVA', 'Friday', 'Away', '4:1', '2', '20')</v>
      </c>
    </row>
    <row r="356" spans="1:23" x14ac:dyDescent="0.25">
      <c r="A356" s="2">
        <v>45207</v>
      </c>
      <c r="B356" s="1">
        <v>9</v>
      </c>
      <c r="C356" s="1" t="s">
        <v>97</v>
      </c>
      <c r="D356" s="1" t="s">
        <v>36</v>
      </c>
      <c r="E356" s="1" t="s">
        <v>57</v>
      </c>
      <c r="F356" s="1" t="s">
        <v>157</v>
      </c>
      <c r="G356" s="11" t="s">
        <v>189</v>
      </c>
      <c r="H356" s="1">
        <v>2</v>
      </c>
      <c r="I356" s="1">
        <v>23</v>
      </c>
      <c r="L356" t="s">
        <v>154</v>
      </c>
      <c r="M356" t="str">
        <f>CONCATENATE("(","'",TEXT(A356,"dd.m.rrrrr"),"'",L356,"'",B356,"'",L356,"'",C356,"'",L356,"'",D356,"'",L356,"'",E356,"'",L356,"'",F356,"'",L356,"'",G356,"'",L356,"'",H356,"'",L356,"'",I356,"'",")")</f>
        <v>('08.10.2023', '9', '9 th round', 'BUD', 'Sunday', 'Home', '4:3', '2', '23')</v>
      </c>
      <c r="W356" t="str">
        <f t="shared" si="5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'17'), ('04.11.2022', '18', '18 th round', 'KLA', 'Friday', 'Away', '2:3pp', '14', '18'), ('06.11.2022', '19', '19 th round', 'KVA', 'Sunday', 'Home', '5:3', '12', '21'), ('18.11.2022', '20', '20 th round', 'HRK', 'Friday', 'Away', '0:3', '13', '21'), ('20.11.2022', '21', '21 th round', 'BRN', 'Sunday', 'Home', '5:1', '11', '24'), ('25.11.2022', '22', '22 th round', 'TRI', 'Friday', 'Home', '1:2pp', '12', '25'), ('27.11.2022', '23', '23 th round', 'MBO', 'Sunday', 'Away', '4:6', '12', '25'), ('29.11.2022', '24', '24 th round', 'PLZ', 'Tuesday', 'Home', '2:4', '12', '25'), ('04.12.2022', '25', '26 th round', 'OLO', 'Sunday', 'Home', '5:3', '12', '28'), ('06.12.2022', '26', '25 th round', 'PAR', 'Tuesday', 'Away', '0:1', '12', '28'), ('09.12.2022', '27', '27 th round', 'VIT', 'Friday', 'Home', '5:3', '12', '31'), ('11.12.2022', '28', '28 th round', 'SPA', 'Sunday', 'Home', '5:2', '12', '34'), ('20.12.2022', '29', '29 th round', 'LIB', 'Tuesday', 'Home', '3:2sn', '11', '36'), ('22.12.2022', '30', '30 th round', 'BUD', 'Thursday', 'Away', '5:2', '11', '39'), ('26.12.2022', '31', '31 th round', 'KLA', 'Monday', 'Home', '2:3', '11', '39'), ('28.12.2022', '32', '32 th round', 'KVA', 'Wednesday', 'Away', '0:3', '11', '39'), ('30.12.2022', '33', '33 th round', 'HRK', 'Friday', 'Home', '2:3pp', '11', '40'), ('03.1.2023', '34', '34 th round', 'BRN', 'Tuesday', 'Away', '1:3', '12', '40'), ('06.1.2023', '35', '35 th round', 'TRI', 'Friday', 'Away', '2:3pp', '11', '41'), ('08.1.2023', '36', '36 th round', 'MBO', 'Sunday', 'Home', '4:3', '10', '44'), ('13.1.2023', '37', '37 th round', 'PLZ', 'Friday', 'Away', '1:4', '11', '44'), ('15.1.2023', '38', '38 th round', 'PAR', 'Sunday', 'Home', '1:2', '11', '44'), ('20.1.2023', '39', '39 th round', 'OLO', 'Friday', 'Away', '8:1', '10', '47'), ('22.1.2023', '40', '40 th round', 'VIT', 'Sunday', 'Away', '3:2sn', '11', '49'), ('25.1.2023', '41', '41 th round', 'SPA', 'Wednesday', 'Away', '2:3', '12', '49'), ('27.1.2023', '42', '42 th round', 'LIB', 'Friday', 'Away', '1:5', '13', '49'), ('29.1.2023', '43', '43 th round', 'BUD', 'Sunday', 'Home', '1:0sn', '12', '51'), ('03.2.2023', '44', '44 th round', 'KLA', 'Friday', 'Away', '2:5', '12', '51'), ('05.2.2023', '45', '45 th round', 'KVA', 'Sunday', 'Home', '1:2pp', '12', '52'), ('15.2.2023', '46', '46 th round', 'HRK', 'Wednesday', 'Away', '0:3', '12', '52'), ('17.2.2023', '47', '47 th round', 'BRN', 'Friday', 'Home', '3:2sn', '12', '54'), ('19.2.2023', '48', '48 th round', 'TRI', 'Sunday', 'Home', '4:3pp', '12', '56'), ('24.2.2023', '49', '49 th round', 'MBO', 'Friday', 'Away', '2:1', '12', '59'), ('26.2.2023', '50', '50 th round', 'PLZ', 'Sunday', 'Home', '2:1', '11', '62'), ('03.3.2023', '51', '51 th round', 'PAR', 'Friday', 'Away', '3:2sn', '12', '64'), ('05.3.2023', '52', '52 th round', 'OLO', 'Sunday', 'Home', '5:1', '11', '67'), ('08.3.2023', '53', 'Playoff 1st round ', 'TRI', 'Wednesday', 'Away', '1:3', '', ''), ('09.3.2023', '54', 'Playoff 1st round ', 'TRI', 'Thursday', 'Away', '4:5pp', '', ''), ('11.3.2023', '55', 'Playoff 1st round ', 'TRI', 'Saturday', 'Home', '2:4', '', ''), ('15.9.2023', '1', '1st round', 'PAR', 'Friday', 'Away', '1:5', '13', '0'), ('17.9.2023', '2', '2nd round', 'PLZ', 'Sunday', 'Home', '4:2', '10', '3'), ('22.9.2023', '3', '3rd round', 'BRN', 'Friday', 'Away', '3:2', '7', '6'), ('24.9.2023', '4', '4 th round', 'LIB', 'Sunday', 'Home', '4:1', '3', '9'), ('27.9.2023', '5', '5 th round', 'HRK', 'Wednesday', 'Away', '3:2sn', '3', '11'), ('29.9.2023', '6', '6 th round', 'MBO', 'Friday', 'Home', '5:2', '3', '14'), ('01.10.2023', '7', '7 th round', 'TRI', 'Sunday', 'Home', '6:4', '2', '17'), ('06.10.2023', '8', '8 th round', 'KVA', 'Friday', 'Away', '4:1', '2', '20'), ('08.10.2023', '9', '9 th round', 'BUD', 'Sunday', 'Home', '4:3', '2', '23')</v>
      </c>
    </row>
    <row r="357" spans="1:23" x14ac:dyDescent="0.25">
      <c r="A357" s="2">
        <v>45212</v>
      </c>
      <c r="B357" s="1">
        <v>10</v>
      </c>
      <c r="C357" s="1" t="s">
        <v>98</v>
      </c>
      <c r="D357" s="1" t="s">
        <v>3</v>
      </c>
      <c r="E357" s="1" t="s">
        <v>55</v>
      </c>
      <c r="F357" s="1" t="s">
        <v>157</v>
      </c>
      <c r="G357" s="11" t="s">
        <v>188</v>
      </c>
      <c r="H357" s="1">
        <v>2</v>
      </c>
      <c r="I357" s="1">
        <v>26</v>
      </c>
      <c r="L357" t="s">
        <v>154</v>
      </c>
      <c r="M357" t="str">
        <f>CONCATENATE("(","'",TEXT(A357,"dd.m.rrrrr"),"'",L357,"'",B357,"'",L357,"'",C357,"'",L357,"'",D357,"'",L357,"'",E357,"'",L357,"'",F357,"'",L357,"'",G357,"'",L357,"'",H357,"'",L357,"'",I357,"'",")")</f>
        <v>('13.10.2023', '10', '10 th round', 'SPA', 'Friday', 'Home', '4:2', '2', '26')</v>
      </c>
      <c r="W357" t="str">
        <f t="shared" si="5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'17'), ('04.11.2022', '18', '18 th round', 'KLA', 'Friday', 'Away', '2:3pp', '14', '18'), ('06.11.2022', '19', '19 th round', 'KVA', 'Sunday', 'Home', '5:3', '12', '21'), ('18.11.2022', '20', '20 th round', 'HRK', 'Friday', 'Away', '0:3', '13', '21'), ('20.11.2022', '21', '21 th round', 'BRN', 'Sunday', 'Home', '5:1', '11', '24'), ('25.11.2022', '22', '22 th round', 'TRI', 'Friday', 'Home', '1:2pp', '12', '25'), ('27.11.2022', '23', '23 th round', 'MBO', 'Sunday', 'Away', '4:6', '12', '25'), ('29.11.2022', '24', '24 th round', 'PLZ', 'Tuesday', 'Home', '2:4', '12', '25'), ('04.12.2022', '25', '26 th round', 'OLO', 'Sunday', 'Home', '5:3', '12', '28'), ('06.12.2022', '26', '25 th round', 'PAR', 'Tuesday', 'Away', '0:1', '12', '28'), ('09.12.2022', '27', '27 th round', 'VIT', 'Friday', 'Home', '5:3', '12', '31'), ('11.12.2022', '28', '28 th round', 'SPA', 'Sunday', 'Home', '5:2', '12', '34'), ('20.12.2022', '29', '29 th round', 'LIB', 'Tuesday', 'Home', '3:2sn', '11', '36'), ('22.12.2022', '30', '30 th round', 'BUD', 'Thursday', 'Away', '5:2', '11', '39'), ('26.12.2022', '31', '31 th round', 'KLA', 'Monday', 'Home', '2:3', '11', '39'), ('28.12.2022', '32', '32 th round', 'KVA', 'Wednesday', 'Away', '0:3', '11', '39'), ('30.12.2022', '33', '33 th round', 'HRK', 'Friday', 'Home', '2:3pp', '11', '40'), ('03.1.2023', '34', '34 th round', 'BRN', 'Tuesday', 'Away', '1:3', '12', '40'), ('06.1.2023', '35', '35 th round', 'TRI', 'Friday', 'Away', '2:3pp', '11', '41'), ('08.1.2023', '36', '36 th round', 'MBO', 'Sunday', 'Home', '4:3', '10', '44'), ('13.1.2023', '37', '37 th round', 'PLZ', 'Friday', 'Away', '1:4', '11', '44'), ('15.1.2023', '38', '38 th round', 'PAR', 'Sunday', 'Home', '1:2', '11', '44'), ('20.1.2023', '39', '39 th round', 'OLO', 'Friday', 'Away', '8:1', '10', '47'), ('22.1.2023', '40', '40 th round', 'VIT', 'Sunday', 'Away', '3:2sn', '11', '49'), ('25.1.2023', '41', '41 th round', 'SPA', 'Wednesday', 'Away', '2:3', '12', '49'), ('27.1.2023', '42', '42 th round', 'LIB', 'Friday', 'Away', '1:5', '13', '49'), ('29.1.2023', '43', '43 th round', 'BUD', 'Sunday', 'Home', '1:0sn', '12', '51'), ('03.2.2023', '44', '44 th round', 'KLA', 'Friday', 'Away', '2:5', '12', '51'), ('05.2.2023', '45', '45 th round', 'KVA', 'Sunday', 'Home', '1:2pp', '12', '52'), ('15.2.2023', '46', '46 th round', 'HRK', 'Wednesday', 'Away', '0:3', '12', '52'), ('17.2.2023', '47', '47 th round', 'BRN', 'Friday', 'Home', '3:2sn', '12', '54'), ('19.2.2023', '48', '48 th round', 'TRI', 'Sunday', 'Home', '4:3pp', '12', '56'), ('24.2.2023', '49', '49 th round', 'MBO', 'Friday', 'Away', '2:1', '12', '59'), ('26.2.2023', '50', '50 th round', 'PLZ', 'Sunday', 'Home', '2:1', '11', '62'), ('03.3.2023', '51', '51 th round', 'PAR', 'Friday', 'Away', '3:2sn', '12', '64'), ('05.3.2023', '52', '52 th round', 'OLO', 'Sunday', 'Home', '5:1', '11', '67'), ('08.3.2023', '53', 'Playoff 1st round ', 'TRI', 'Wednesday', 'Away', '1:3', '', ''), ('09.3.2023', '54', 'Playoff 1st round ', 'TRI', 'Thursday', 'Away', '4:5pp', '', ''), ('11.3.2023', '55', 'Playoff 1st round ', 'TRI', 'Saturday', 'Home', '2:4', '', ''), ('15.9.2023', '1', '1st round', 'PAR', 'Friday', 'Away', '1:5', '13', '0'), ('17.9.2023', '2', '2nd round', 'PLZ', 'Sunday', 'Home', '4:2', '10', '3'), ('22.9.2023', '3', '3rd round', 'BRN', 'Friday', 'Away', '3:2', '7', '6'), ('24.9.2023', '4', '4 th round', 'LIB', 'Sunday', 'Home', '4:1', '3', '9'), ('27.9.2023', '5', '5 th round', 'HRK', 'Wednesday', 'Away', '3:2sn', '3', '11'), ('29.9.2023', '6', '6 th round', 'MBO', 'Friday', 'Home', '5:2', '3', '14'), ('01.10.2023', '7', '7 th round', 'TRI', 'Sunday', 'Home', '6:4', '2', '17'), ('06.10.2023', '8', '8 th round', 'KVA', 'Friday', 'Away', '4:1', '2', '20'), ('08.10.2023', '9', '9 th round', 'BUD', 'Sunday', 'Home', '4:3', '2', '23'), ('13.10.2023', '10', '10 th round', 'SPA', 'Friday', 'Home', '4:2', '2', '26')</v>
      </c>
    </row>
    <row r="358" spans="1:23" x14ac:dyDescent="0.25">
      <c r="A358" s="2">
        <v>45214</v>
      </c>
      <c r="B358" s="1">
        <v>11</v>
      </c>
      <c r="C358" s="1" t="s">
        <v>99</v>
      </c>
      <c r="D358" s="1" t="s">
        <v>28</v>
      </c>
      <c r="E358" s="1" t="s">
        <v>57</v>
      </c>
      <c r="F358" s="1" t="s">
        <v>157</v>
      </c>
      <c r="G358" s="3" t="s">
        <v>39</v>
      </c>
      <c r="H358" s="1">
        <v>2</v>
      </c>
      <c r="I358" s="1">
        <v>28</v>
      </c>
      <c r="L358" t="s">
        <v>154</v>
      </c>
      <c r="M358" t="str">
        <f>CONCATENATE("(","'",TEXT(A358,"dd.m.rrrrr"),"'",L358,"'",B358,"'",L358,"'",C358,"'",L358,"'",D358,"'",L358,"'",E358,"'",L358,"'",F358,"'",L358,"'",G358,"'",L358,"'",H358,"'",L358,"'",I358,"'",")")</f>
        <v>('15.10.2023', '11', '11 th round', 'KLA', 'Sunday', 'Home', '5:4pp', '2', '28')</v>
      </c>
      <c r="W358" t="str">
        <f t="shared" si="5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'17'), ('04.11.2022', '18', '18 th round', 'KLA', 'Friday', 'Away', '2:3pp', '14', '18'), ('06.11.2022', '19', '19 th round', 'KVA', 'Sunday', 'Home', '5:3', '12', '21'), ('18.11.2022', '20', '20 th round', 'HRK', 'Friday', 'Away', '0:3', '13', '21'), ('20.11.2022', '21', '21 th round', 'BRN', 'Sunday', 'Home', '5:1', '11', '24'), ('25.11.2022', '22', '22 th round', 'TRI', 'Friday', 'Home', '1:2pp', '12', '25'), ('27.11.2022', '23', '23 th round', 'MBO', 'Sunday', 'Away', '4:6', '12', '25'), ('29.11.2022', '24', '24 th round', 'PLZ', 'Tuesday', 'Home', '2:4', '12', '25'), ('04.12.2022', '25', '26 th round', 'OLO', 'Sunday', 'Home', '5:3', '12', '28'), ('06.12.2022', '26', '25 th round', 'PAR', 'Tuesday', 'Away', '0:1', '12', '28'), ('09.12.2022', '27', '27 th round', 'VIT', 'Friday', 'Home', '5:3', '12', '31'), ('11.12.2022', '28', '28 th round', 'SPA', 'Sunday', 'Home', '5:2', '12', '34'), ('20.12.2022', '29', '29 th round', 'LIB', 'Tuesday', 'Home', '3:2sn', '11', '36'), ('22.12.2022', '30', '30 th round', 'BUD', 'Thursday', 'Away', '5:2', '11', '39'), ('26.12.2022', '31', '31 th round', 'KLA', 'Monday', 'Home', '2:3', '11', '39'), ('28.12.2022', '32', '32 th round', 'KVA', 'Wednesday', 'Away', '0:3', '11', '39'), ('30.12.2022', '33', '33 th round', 'HRK', 'Friday', 'Home', '2:3pp', '11', '40'), ('03.1.2023', '34', '34 th round', 'BRN', 'Tuesday', 'Away', '1:3', '12', '40'), ('06.1.2023', '35', '35 th round', 'TRI', 'Friday', 'Away', '2:3pp', '11', '41'), ('08.1.2023', '36', '36 th round', 'MBO', 'Sunday', 'Home', '4:3', '10', '44'), ('13.1.2023', '37', '37 th round', 'PLZ', 'Friday', 'Away', '1:4', '11', '44'), ('15.1.2023', '38', '38 th round', 'PAR', 'Sunday', 'Home', '1:2', '11', '44'), ('20.1.2023', '39', '39 th round', 'OLO', 'Friday', 'Away', '8:1', '10', '47'), ('22.1.2023', '40', '40 th round', 'VIT', 'Sunday', 'Away', '3:2sn', '11', '49'), ('25.1.2023', '41', '41 th round', 'SPA', 'Wednesday', 'Away', '2:3', '12', '49'), ('27.1.2023', '42', '42 th round', 'LIB', 'Friday', 'Away', '1:5', '13', '49'), ('29.1.2023', '43', '43 th round', 'BUD', 'Sunday', 'Home', '1:0sn', '12', '51'), ('03.2.2023', '44', '44 th round', 'KLA', 'Friday', 'Away', '2:5', '12', '51'), ('05.2.2023', '45', '45 th round', 'KVA', 'Sunday', 'Home', '1:2pp', '12', '52'), ('15.2.2023', '46', '46 th round', 'HRK', 'Wednesday', 'Away', '0:3', '12', '52'), ('17.2.2023', '47', '47 th round', 'BRN', 'Friday', 'Home', '3:2sn', '12', '54'), ('19.2.2023', '48', '48 th round', 'TRI', 'Sunday', 'Home', '4:3pp', '12', '56'), ('24.2.2023', '49', '49 th round', 'MBO', 'Friday', 'Away', '2:1', '12', '59'), ('26.2.2023', '50', '50 th round', 'PLZ', 'Sunday', 'Home', '2:1', '11', '62'), ('03.3.2023', '51', '51 th round', 'PAR', 'Friday', 'Away', '3:2sn', '12', '64'), ('05.3.2023', '52', '52 th round', 'OLO', 'Sunday', 'Home', '5:1', '11', '67'), ('08.3.2023', '53', 'Playoff 1st round ', 'TRI', 'Wednesday', 'Away', '1:3', '', ''), ('09.3.2023', '54', 'Playoff 1st round ', 'TRI', 'Thursday', 'Away', '4:5pp', '', ''), ('11.3.2023', '55', 'Playoff 1st round ', 'TRI', 'Saturday', 'Home', '2:4', '', ''), ('15.9.2023', '1', '1st round', 'PAR', 'Friday', 'Away', '1:5', '13', '0'), ('17.9.2023', '2', '2nd round', 'PLZ', 'Sunday', 'Home', '4:2', '10', '3'), ('22.9.2023', '3', '3rd round', 'BRN', 'Friday', 'Away', '3:2', '7', '6'), ('24.9.2023', '4', '4 th round', 'LIB', 'Sunday', 'Home', '4:1', '3', '9'), ('27.9.2023', '5', '5 th round', 'HRK', 'Wednesday', 'Away', '3:2sn', '3', '11'), ('29.9.2023', '6', '6 th round', 'MBO', 'Friday', 'Home', '5:2', '3', '14'), ('01.10.2023', '7', '7 th round', 'TRI', 'Sunday', 'Home', '6:4', '2', '17'), ('06.10.2023', '8', '8 th round', 'KVA', 'Friday', 'Away', '4:1', '2', '20'), ('08.10.2023', '9', '9 th round', 'BUD', 'Sunday', 'Home', '4:3', '2', '23'), ('13.10.2023', '10', '10 th round', 'SPA', 'Friday', 'Home', '4:2', '2', '26'), ('15.10.2023', '11', '11 th round', 'KLA', 'Sunday', 'Home', '5:4pp', '2', '28')</v>
      </c>
    </row>
    <row r="359" spans="1:23" x14ac:dyDescent="0.25">
      <c r="A359" s="2">
        <v>45219</v>
      </c>
      <c r="B359" s="1">
        <v>12</v>
      </c>
      <c r="C359" s="1" t="s">
        <v>100</v>
      </c>
      <c r="D359" s="1" t="s">
        <v>10</v>
      </c>
      <c r="E359" s="1" t="s">
        <v>55</v>
      </c>
      <c r="F359" s="1" t="s">
        <v>157</v>
      </c>
      <c r="G359" s="11" t="s">
        <v>202</v>
      </c>
      <c r="H359" s="1">
        <v>2</v>
      </c>
      <c r="I359" s="1">
        <v>31</v>
      </c>
      <c r="L359" t="s">
        <v>154</v>
      </c>
      <c r="M359" t="str">
        <f>CONCATENATE("(","'",TEXT(A359,"dd.m.rrrrr"),"'",L359,"'",B359,"'",L359,"'",C359,"'",L359,"'",D359,"'",L359,"'",E359,"'",L359,"'",F359,"'",L359,"'",G359,"'",L359,"'",H359,"'",L359,"'",I359,"'",")")</f>
        <v>('20.10.2023', '12', '12 th round', 'VIT', 'Friday', 'Home', '6:3', '2', '31')</v>
      </c>
      <c r="W359" t="str">
        <f t="shared" si="5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'17'), ('04.11.2022', '18', '18 th round', 'KLA', 'Friday', 'Away', '2:3pp', '14', '18'), ('06.11.2022', '19', '19 th round', 'KVA', 'Sunday', 'Home', '5:3', '12', '21'), ('18.11.2022', '20', '20 th round', 'HRK', 'Friday', 'Away', '0:3', '13', '21'), ('20.11.2022', '21', '21 th round', 'BRN', 'Sunday', 'Home', '5:1', '11', '24'), ('25.11.2022', '22', '22 th round', 'TRI', 'Friday', 'Home', '1:2pp', '12', '25'), ('27.11.2022', '23', '23 th round', 'MBO', 'Sunday', 'Away', '4:6', '12', '25'), ('29.11.2022', '24', '24 th round', 'PLZ', 'Tuesday', 'Home', '2:4', '12', '25'), ('04.12.2022', '25', '26 th round', 'OLO', 'Sunday', 'Home', '5:3', '12', '28'), ('06.12.2022', '26', '25 th round', 'PAR', 'Tuesday', 'Away', '0:1', '12', '28'), ('09.12.2022', '27', '27 th round', 'VIT', 'Friday', 'Home', '5:3', '12', '31'), ('11.12.2022', '28', '28 th round', 'SPA', 'Sunday', 'Home', '5:2', '12', '34'), ('20.12.2022', '29', '29 th round', 'LIB', 'Tuesday', 'Home', '3:2sn', '11', '36'), ('22.12.2022', '30', '30 th round', 'BUD', 'Thursday', 'Away', '5:2', '11', '39'), ('26.12.2022', '31', '31 th round', 'KLA', 'Monday', 'Home', '2:3', '11', '39'), ('28.12.2022', '32', '32 th round', 'KVA', 'Wednesday', 'Away', '0:3', '11', '39'), ('30.12.2022', '33', '33 th round', 'HRK', 'Friday', 'Home', '2:3pp', '11', '40'), ('03.1.2023', '34', '34 th round', 'BRN', 'Tuesday', 'Away', '1:3', '12', '40'), ('06.1.2023', '35', '35 th round', 'TRI', 'Friday', 'Away', '2:3pp', '11', '41'), ('08.1.2023', '36', '36 th round', 'MBO', 'Sunday', 'Home', '4:3', '10', '44'), ('13.1.2023', '37', '37 th round', 'PLZ', 'Friday', 'Away', '1:4', '11', '44'), ('15.1.2023', '38', '38 th round', 'PAR', 'Sunday', 'Home', '1:2', '11', '44'), ('20.1.2023', '39', '39 th round', 'OLO', 'Friday', 'Away', '8:1', '10', '47'), ('22.1.2023', '40', '40 th round', 'VIT', 'Sunday', 'Away', '3:2sn', '11', '49'), ('25.1.2023', '41', '41 th round', 'SPA', 'Wednesday', 'Away', '2:3', '12', '49'), ('27.1.2023', '42', '42 th round', 'LIB', 'Friday', 'Away', '1:5', '13', '49'), ('29.1.2023', '43', '43 th round', 'BUD', 'Sunday', 'Home', '1:0sn', '12', '51'), ('03.2.2023', '44', '44 th round', 'KLA', 'Friday', 'Away', '2:5', '12', '51'), ('05.2.2023', '45', '45 th round', 'KVA', 'Sunday', 'Home', '1:2pp', '12', '52'), ('15.2.2023', '46', '46 th round', 'HRK', 'Wednesday', 'Away', '0:3', '12', '52'), ('17.2.2023', '47', '47 th round', 'BRN', 'Friday', 'Home', '3:2sn', '12', '54'), ('19.2.2023', '48', '48 th round', 'TRI', 'Sunday', 'Home', '4:3pp', '12', '56'), ('24.2.2023', '49', '49 th round', 'MBO', 'Friday', 'Away', '2:1', '12', '59'), ('26.2.2023', '50', '50 th round', 'PLZ', 'Sunday', 'Home', '2:1', '11', '62'), ('03.3.2023', '51', '51 th round', 'PAR', 'Friday', 'Away', '3:2sn', '12', '64'), ('05.3.2023', '52', '52 th round', 'OLO', 'Sunday', 'Home', '5:1', '11', '67'), ('08.3.2023', '53', 'Playoff 1st round ', 'TRI', 'Wednesday', 'Away', '1:3', '', ''), ('09.3.2023', '54', 'Playoff 1st round ', 'TRI', 'Thursday', 'Away', '4:5pp', '', ''), ('11.3.2023', '55', 'Playoff 1st round ', 'TRI', 'Saturday', 'Home', '2:4', '', ''), ('15.9.2023', '1', '1st round', 'PAR', 'Friday', 'Away', '1:5', '13', '0'), ('17.9.2023', '2', '2nd round', 'PLZ', 'Sunday', 'Home', '4:2', '10', '3'), ('22.9.2023', '3', '3rd round', 'BRN', 'Friday', 'Away', '3:2', '7', '6'), ('24.9.2023', '4', '4 th round', 'LIB', 'Sunday', 'Home', '4:1', '3', '9'), ('27.9.2023', '5', '5 th round', 'HRK', 'Wednesday', 'Away', '3:2sn', '3', '11'), ('29.9.2023', '6', '6 th round', 'MBO', 'Friday', 'Home', '5:2', '3', '14'), ('01.10.2023', '7', '7 th round', 'TRI', 'Sunday', 'Home', '6:4', '2', '17'), ('06.10.2023', '8', '8 th round', 'KVA', 'Friday', 'Away', '4:1', '2', '20'), ('08.10.2023', '9', '9 th round', 'BUD', 'Sunday', 'Home', '4:3', '2', '23'), ('13.10.2023', '10', '10 th round', 'SPA', 'Friday', 'Home', '4:2', '2', '26'), ('15.10.2023', '11', '11 th round', 'KLA', 'Sunday', 'Home', '5:4pp', '2', '28'), ('20.10.2023', '12', '12 th round', 'VIT', 'Friday', 'Home', '6:3', '2', '31')</v>
      </c>
    </row>
    <row r="360" spans="1:23" x14ac:dyDescent="0.25">
      <c r="A360" s="2">
        <v>45221</v>
      </c>
      <c r="B360" s="1">
        <v>13</v>
      </c>
      <c r="C360" s="1" t="s">
        <v>101</v>
      </c>
      <c r="D360" s="1" t="s">
        <v>4</v>
      </c>
      <c r="E360" s="1" t="s">
        <v>57</v>
      </c>
      <c r="F360" s="1" t="s">
        <v>155</v>
      </c>
      <c r="G360" s="11" t="s">
        <v>167</v>
      </c>
      <c r="H360" s="5">
        <v>2</v>
      </c>
      <c r="I360" s="5">
        <v>31</v>
      </c>
      <c r="L360" t="s">
        <v>154</v>
      </c>
      <c r="M360" t="str">
        <f>CONCATENATE("(","'",TEXT(A360,"dd.m.rrrrr"),"'",L360,"'",B360,"'",L360,"'",C360,"'",L360,"'",D360,"'",L360,"'",E360,"'",L360,"'",F360,"'",L360,"'",G360,"'",L360,"'",H360,"'",L360,"'",I360,"'",")")</f>
        <v>('22.10.2023', '13', '13 th round', 'OLO', 'Sunday', 'Away', '1:2', '2', '31')</v>
      </c>
      <c r="W360" t="str">
        <f t="shared" si="5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'17'), ('04.11.2022', '18', '18 th round', 'KLA', 'Friday', 'Away', '2:3pp', '14', '18'), ('06.11.2022', '19', '19 th round', 'KVA', 'Sunday', 'Home', '5:3', '12', '21'), ('18.11.2022', '20', '20 th round', 'HRK', 'Friday', 'Away', '0:3', '13', '21'), ('20.11.2022', '21', '21 th round', 'BRN', 'Sunday', 'Home', '5:1', '11', '24'), ('25.11.2022', '22', '22 th round', 'TRI', 'Friday', 'Home', '1:2pp', '12', '25'), ('27.11.2022', '23', '23 th round', 'MBO', 'Sunday', 'Away', '4:6', '12', '25'), ('29.11.2022', '24', '24 th round', 'PLZ', 'Tuesday', 'Home', '2:4', '12', '25'), ('04.12.2022', '25', '26 th round', 'OLO', 'Sunday', 'Home', '5:3', '12', '28'), ('06.12.2022', '26', '25 th round', 'PAR', 'Tuesday', 'Away', '0:1', '12', '28'), ('09.12.2022', '27', '27 th round', 'VIT', 'Friday', 'Home', '5:3', '12', '31'), ('11.12.2022', '28', '28 th round', 'SPA', 'Sunday', 'Home', '5:2', '12', '34'), ('20.12.2022', '29', '29 th round', 'LIB', 'Tuesday', 'Home', '3:2sn', '11', '36'), ('22.12.2022', '30', '30 th round', 'BUD', 'Thursday', 'Away', '5:2', '11', '39'), ('26.12.2022', '31', '31 th round', 'KLA', 'Monday', 'Home', '2:3', '11', '39'), ('28.12.2022', '32', '32 th round', 'KVA', 'Wednesday', 'Away', '0:3', '11', '39'), ('30.12.2022', '33', '33 th round', 'HRK', 'Friday', 'Home', '2:3pp', '11', '40'), ('03.1.2023', '34', '34 th round', 'BRN', 'Tuesday', 'Away', '1:3', '12', '40'), ('06.1.2023', '35', '35 th round', 'TRI', 'Friday', 'Away', '2:3pp', '11', '41'), ('08.1.2023', '36', '36 th round', 'MBO', 'Sunday', 'Home', '4:3', '10', '44'), ('13.1.2023', '37', '37 th round', 'PLZ', 'Friday', 'Away', '1:4', '11', '44'), ('15.1.2023', '38', '38 th round', 'PAR', 'Sunday', 'Home', '1:2', '11', '44'), ('20.1.2023', '39', '39 th round', 'OLO', 'Friday', 'Away', '8:1', '10', '47'), ('22.1.2023', '40', '40 th round', 'VIT', 'Sunday', 'Away', '3:2sn', '11', '49'), ('25.1.2023', '41', '41 th round', 'SPA', 'Wednesday', 'Away', '2:3', '12', '49'), ('27.1.2023', '42', '42 th round', 'LIB', 'Friday', 'Away', '1:5', '13', '49'), ('29.1.2023', '43', '43 th round', 'BUD', 'Sunday', 'Home', '1:0sn', '12', '51'), ('03.2.2023', '44', '44 th round', 'KLA', 'Friday', 'Away', '2:5', '12', '51'), ('05.2.2023', '45', '45 th round', 'KVA', 'Sunday', 'Home', '1:2pp', '12', '52'), ('15.2.2023', '46', '46 th round', 'HRK', 'Wednesday', 'Away', '0:3', '12', '52'), ('17.2.2023', '47', '47 th round', 'BRN', 'Friday', 'Home', '3:2sn', '12', '54'), ('19.2.2023', '48', '48 th round', 'TRI', 'Sunday', 'Home', '4:3pp', '12', '56'), ('24.2.2023', '49', '49 th round', 'MBO', 'Friday', 'Away', '2:1', '12', '59'), ('26.2.2023', '50', '50 th round', 'PLZ', 'Sunday', 'Home', '2:1', '11', '62'), ('03.3.2023', '51', '51 th round', 'PAR', 'Friday', 'Away', '3:2sn', '12', '64'), ('05.3.2023', '52', '52 th round', 'OLO', 'Sunday', 'Home', '5:1', '11', '67'), ('08.3.2023', '53', 'Playoff 1st round ', 'TRI', 'Wednesday', 'Away', '1:3', '', ''), ('09.3.2023', '54', 'Playoff 1st round ', 'TRI', 'Thursday', 'Away', '4:5pp', '', ''), ('11.3.2023', '55', 'Playoff 1st round ', 'TRI', 'Saturday', 'Home', '2:4', '', ''), ('15.9.2023', '1', '1st round', 'PAR', 'Friday', 'Away', '1:5', '13', '0'), ('17.9.2023', '2', '2nd round', 'PLZ', 'Sunday', 'Home', '4:2', '10', '3'), ('22.9.2023', '3', '3rd round', 'BRN', 'Friday', 'Away', '3:2', '7', '6'), ('24.9.2023', '4', '4 th round', 'LIB', 'Sunday', 'Home', '4:1', '3', '9'), ('27.9.2023', '5', '5 th round', 'HRK', 'Wednesday', 'Away', '3:2sn', '3', '11'), ('29.9.2023', '6', '6 th round', 'MBO', 'Friday', 'Home', '5:2', '3', '14'), ('01.10.2023', '7', '7 th round', 'TRI', 'Sunday', 'Home', '6:4', '2', '17'), ('06.10.2023', '8', '8 th round', 'KVA', 'Friday', 'Away', '4:1', '2', '20'), ('08.10.2023', '9', '9 th round', 'BUD', 'Sunday', 'Home', '4:3', '2', '23'), ('13.10.2023', '10', '10 th round', 'SPA', 'Friday', 'Home', '4:2', '2', '26'), ('15.10.2023', '11', '11 th round', 'KLA', 'Sunday', 'Home', '5:4pp', '2', '28'), ('20.10.2023', '12', '12 th round', 'VIT', 'Friday', 'Home', '6:3', '2', '31'), ('22.10.2023', '13', '13 th round', 'OLO', 'Sunday', 'Away', '1:2', '2', '31')</v>
      </c>
    </row>
    <row r="361" spans="1:23" x14ac:dyDescent="0.25">
      <c r="A361" s="2">
        <v>45226</v>
      </c>
      <c r="B361" s="1">
        <v>14</v>
      </c>
      <c r="C361" s="1" t="s">
        <v>102</v>
      </c>
      <c r="D361" s="1" t="s">
        <v>9</v>
      </c>
      <c r="E361" s="1" t="s">
        <v>55</v>
      </c>
      <c r="F361" s="1" t="s">
        <v>157</v>
      </c>
      <c r="G361" s="11" t="s">
        <v>187</v>
      </c>
      <c r="H361" s="10">
        <v>1</v>
      </c>
      <c r="I361" s="1">
        <v>34</v>
      </c>
      <c r="L361" t="s">
        <v>154</v>
      </c>
      <c r="M361" t="str">
        <f>CONCATENATE("(","'",TEXT(A361,"dd.m.rrrrr"),"'",L361,"'",B361,"'",L361,"'",C361,"'",L361,"'",D361,"'",L361,"'",E361,"'",L361,"'",F361,"'",L361,"'",G361,"'",L361,"'",H361,"'",L361,"'",I361,"'",")")</f>
        <v>('27.10.2023', '14', '14 th round', 'PAR', 'Friday', 'Home', '4:1', '1', '34')</v>
      </c>
      <c r="W361" t="str">
        <f t="shared" si="5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'17'), ('04.11.2022', '18', '18 th round', 'KLA', 'Friday', 'Away', '2:3pp', '14', '18'), ('06.11.2022', '19', '19 th round', 'KVA', 'Sunday', 'Home', '5:3', '12', '21'), ('18.11.2022', '20', '20 th round', 'HRK', 'Friday', 'Away', '0:3', '13', '21'), ('20.11.2022', '21', '21 th round', 'BRN', 'Sunday', 'Home', '5:1', '11', '24'), ('25.11.2022', '22', '22 th round', 'TRI', 'Friday', 'Home', '1:2pp', '12', '25'), ('27.11.2022', '23', '23 th round', 'MBO', 'Sunday', 'Away', '4:6', '12', '25'), ('29.11.2022', '24', '24 th round', 'PLZ', 'Tuesday', 'Home', '2:4', '12', '25'), ('04.12.2022', '25', '26 th round', 'OLO', 'Sunday', 'Home', '5:3', '12', '28'), ('06.12.2022', '26', '25 th round', 'PAR', 'Tuesday', 'Away', '0:1', '12', '28'), ('09.12.2022', '27', '27 th round', 'VIT', 'Friday', 'Home', '5:3', '12', '31'), ('11.12.2022', '28', '28 th round', 'SPA', 'Sunday', 'Home', '5:2', '12', '34'), ('20.12.2022', '29', '29 th round', 'LIB', 'Tuesday', 'Home', '3:2sn', '11', '36'), ('22.12.2022', '30', '30 th round', 'BUD', 'Thursday', 'Away', '5:2', '11', '39'), ('26.12.2022', '31', '31 th round', 'KLA', 'Monday', 'Home', '2:3', '11', '39'), ('28.12.2022', '32', '32 th round', 'KVA', 'Wednesday', 'Away', '0:3', '11', '39'), ('30.12.2022', '33', '33 th round', 'HRK', 'Friday', 'Home', '2:3pp', '11', '40'), ('03.1.2023', '34', '34 th round', 'BRN', 'Tuesday', 'Away', '1:3', '12', '40'), ('06.1.2023', '35', '35 th round', 'TRI', 'Friday', 'Away', '2:3pp', '11', '41'), ('08.1.2023', '36', '36 th round', 'MBO', 'Sunday', 'Home', '4:3', '10', '44'), ('13.1.2023', '37', '37 th round', 'PLZ', 'Friday', 'Away', '1:4', '11', '44'), ('15.1.2023', '38', '38 th round', 'PAR', 'Sunday', 'Home', '1:2', '11', '44'), ('20.1.2023', '39', '39 th round', 'OLO', 'Friday', 'Away', '8:1', '10', '47'), ('22.1.2023', '40', '40 th round', 'VIT', 'Sunday', 'Away', '3:2sn', '11', '49'), ('25.1.2023', '41', '41 th round', 'SPA', 'Wednesday', 'Away', '2:3', '12', '49'), ('27.1.2023', '42', '42 th round', 'LIB', 'Friday', 'Away', '1:5', '13', '49'), ('29.1.2023', '43', '43 th round', 'BUD', 'Sunday', 'Home', '1:0sn', '12', '51'), ('03.2.2023', '44', '44 th round', 'KLA', 'Friday', 'Away', '2:5', '12', '51'), ('05.2.2023', '45', '45 th round', 'KVA', 'Sunday', 'Home', '1:2pp', '12', '52'), ('15.2.2023', '46', '46 th round', 'HRK', 'Wednesday', 'Away', '0:3', '12', '52'), ('17.2.2023', '47', '47 th round', 'BRN', 'Friday', 'Home', '3:2sn', '12', '54'), ('19.2.2023', '48', '48 th round', 'TRI', 'Sunday', 'Home', '4:3pp', '12', '56'), ('24.2.2023', '49', '49 th round', 'MBO', 'Friday', 'Away', '2:1', '12', '59'), ('26.2.2023', '50', '50 th round', 'PLZ', 'Sunday', 'Home', '2:1', '11', '62'), ('03.3.2023', '51', '51 th round', 'PAR', 'Friday', 'Away', '3:2sn', '12', '64'), ('05.3.2023', '52', '52 th round', 'OLO', 'Sunday', 'Home', '5:1', '11', '67'), ('08.3.2023', '53', 'Playoff 1st round ', 'TRI', 'Wednesday', 'Away', '1:3', '', ''), ('09.3.2023', '54', 'Playoff 1st round ', 'TRI', 'Thursday', 'Away', '4:5pp', '', ''), ('11.3.2023', '55', 'Playoff 1st round ', 'TRI', 'Saturday', 'Home', '2:4', '', ''), ('15.9.2023', '1', '1st round', 'PAR', 'Friday', 'Away', '1:5', '13', '0'), ('17.9.2023', '2', '2nd round', 'PLZ', 'Sunday', 'Home', '4:2', '10', '3'), ('22.9.2023', '3', '3rd round', 'BRN', 'Friday', 'Away', '3:2', '7', '6'), ('24.9.2023', '4', '4 th round', 'LIB', 'Sunday', 'Home', '4:1', '3', '9'), ('27.9.2023', '5', '5 th round', 'HRK', 'Wednesday', 'Away', '3:2sn', '3', '11'), ('29.9.2023', '6', '6 th round', 'MBO', 'Friday', 'Home', '5:2', '3', '14'), ('01.10.2023', '7', '7 th round', 'TRI', 'Sunday', 'Home', '6:4', '2', '17'), ('06.10.2023', '8', '8 th round', 'KVA', 'Friday', 'Away', '4:1', '2', '20'), ('08.10.2023', '9', '9 th round', 'BUD', 'Sunday', 'Home', '4:3', '2', '23'), ('13.10.2023', '10', '10 th round', 'SPA', 'Friday', 'Home', '4:2', '2', '26'), ('15.10.2023', '11', '11 th round', 'KLA', 'Sunday', 'Home', '5:4pp', '2', '28'), ('20.10.2023', '12', '12 th round', 'VIT', 'Friday', 'Home', '6:3', '2', '31'), ('22.10.2023', '13', '13 th round', 'OLO', 'Sunday', 'Away', '1:2', '2', '31'), ('27.10.2023', '14', '14 th round', 'PAR', 'Friday', 'Home', '4:1', '1', '34')</v>
      </c>
    </row>
    <row r="362" spans="1:23" x14ac:dyDescent="0.25">
      <c r="A362" s="2">
        <v>45228</v>
      </c>
      <c r="B362" s="1">
        <v>15</v>
      </c>
      <c r="C362" s="1" t="s">
        <v>103</v>
      </c>
      <c r="D362" s="1" t="s">
        <v>0</v>
      </c>
      <c r="E362" s="1" t="s">
        <v>57</v>
      </c>
      <c r="F362" s="1" t="s">
        <v>155</v>
      </c>
      <c r="G362" s="11" t="s">
        <v>176</v>
      </c>
      <c r="H362" s="1">
        <v>2</v>
      </c>
      <c r="I362" s="1">
        <v>34</v>
      </c>
      <c r="L362" t="s">
        <v>154</v>
      </c>
      <c r="M362" t="str">
        <f>CONCATENATE("(","'",TEXT(A362,"dd.m.rrrrr"),"'",L362,"'",B362,"'",L362,"'",C362,"'",L362,"'",D362,"'",L362,"'",E362,"'",L362,"'",F362,"'",L362,"'",G362,"'",L362,"'",H362,"'",L362,"'",I362,"'",")")</f>
        <v>('29.10.2023', '15', '15 th round', 'PLZ', 'Sunday', 'Away', '2:5', '2', '34')</v>
      </c>
      <c r="W362" t="str">
        <f t="shared" si="5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'17'), ('04.11.2022', '18', '18 th round', 'KLA', 'Friday', 'Away', '2:3pp', '14', '18'), ('06.11.2022', '19', '19 th round', 'KVA', 'Sunday', 'Home', '5:3', '12', '21'), ('18.11.2022', '20', '20 th round', 'HRK', 'Friday', 'Away', '0:3', '13', '21'), ('20.11.2022', '21', '21 th round', 'BRN', 'Sunday', 'Home', '5:1', '11', '24'), ('25.11.2022', '22', '22 th round', 'TRI', 'Friday', 'Home', '1:2pp', '12', '25'), ('27.11.2022', '23', '23 th round', 'MBO', 'Sunday', 'Away', '4:6', '12', '25'), ('29.11.2022', '24', '24 th round', 'PLZ', 'Tuesday', 'Home', '2:4', '12', '25'), ('04.12.2022', '25', '26 th round', 'OLO', 'Sunday', 'Home', '5:3', '12', '28'), ('06.12.2022', '26', '25 th round', 'PAR', 'Tuesday', 'Away', '0:1', '12', '28'), ('09.12.2022', '27', '27 th round', 'VIT', 'Friday', 'Home', '5:3', '12', '31'), ('11.12.2022', '28', '28 th round', 'SPA', 'Sunday', 'Home', '5:2', '12', '34'), ('20.12.2022', '29', '29 th round', 'LIB', 'Tuesday', 'Home', '3:2sn', '11', '36'), ('22.12.2022', '30', '30 th round', 'BUD', 'Thursday', 'Away', '5:2', '11', '39'), ('26.12.2022', '31', '31 th round', 'KLA', 'Monday', 'Home', '2:3', '11', '39'), ('28.12.2022', '32', '32 th round', 'KVA', 'Wednesday', 'Away', '0:3', '11', '39'), ('30.12.2022', '33', '33 th round', 'HRK', 'Friday', 'Home', '2:3pp', '11', '40'), ('03.1.2023', '34', '34 th round', 'BRN', 'Tuesday', 'Away', '1:3', '12', '40'), ('06.1.2023', '35', '35 th round', 'TRI', 'Friday', 'Away', '2:3pp', '11', '41'), ('08.1.2023', '36', '36 th round', 'MBO', 'Sunday', 'Home', '4:3', '10', '44'), ('13.1.2023', '37', '37 th round', 'PLZ', 'Friday', 'Away', '1:4', '11', '44'), ('15.1.2023', '38', '38 th round', 'PAR', 'Sunday', 'Home', '1:2', '11', '44'), ('20.1.2023', '39', '39 th round', 'OLO', 'Friday', 'Away', '8:1', '10', '47'), ('22.1.2023', '40', '40 th round', 'VIT', 'Sunday', 'Away', '3:2sn', '11', '49'), ('25.1.2023', '41', '41 th round', 'SPA', 'Wednesday', 'Away', '2:3', '12', '49'), ('27.1.2023', '42', '42 th round', 'LIB', 'Friday', 'Away', '1:5', '13', '49'), ('29.1.2023', '43', '43 th round', 'BUD', 'Sunday', 'Home', '1:0sn', '12', '51'), ('03.2.2023', '44', '44 th round', 'KLA', 'Friday', 'Away', '2:5', '12', '51'), ('05.2.2023', '45', '45 th round', 'KVA', 'Sunday', 'Home', '1:2pp', '12', '52'), ('15.2.2023', '46', '46 th round', 'HRK', 'Wednesday', 'Away', '0:3', '12', '52'), ('17.2.2023', '47', '47 th round', 'BRN', 'Friday', 'Home', '3:2sn', '12', '54'), ('19.2.2023', '48', '48 th round', 'TRI', 'Sunday', 'Home', '4:3pp', '12', '56'), ('24.2.2023', '49', '49 th round', 'MBO', 'Friday', 'Away', '2:1', '12', '59'), ('26.2.2023', '50', '50 th round', 'PLZ', 'Sunday', 'Home', '2:1', '11', '62'), ('03.3.2023', '51', '51 th round', 'PAR', 'Friday', 'Away', '3:2sn', '12', '64'), ('05.3.2023', '52', '52 th round', 'OLO', 'Sunday', 'Home', '5:1', '11', '67'), ('08.3.2023', '53', 'Playoff 1st round ', 'TRI', 'Wednesday', 'Away', '1:3', '', ''), ('09.3.2023', '54', 'Playoff 1st round ', 'TRI', 'Thursday', 'Away', '4:5pp', '', ''), ('11.3.2023', '55', 'Playoff 1st round ', 'TRI', 'Saturday', 'Home', '2:4', '', ''), ('15.9.2023', '1', '1st round', 'PAR', 'Friday', 'Away', '1:5', '13', '0'), ('17.9.2023', '2', '2nd round', 'PLZ', 'Sunday', 'Home', '4:2', '10', '3'), ('22.9.2023', '3', '3rd round', 'BRN', 'Friday', 'Away', '3:2', '7', '6'), ('24.9.2023', '4', '4 th round', 'LIB', 'Sunday', 'Home', '4:1', '3', '9'), ('27.9.2023', '5', '5 th round', 'HRK', 'Wednesday', 'Away', '3:2sn', '3', '11'), ('29.9.2023', '6', '6 th round', 'MBO', 'Friday', 'Home', '5:2', '3', '14'), ('01.10.2023', '7', '7 th round', 'TRI', 'Sunday', 'Home', '6:4', '2', '17'), ('06.10.2023', '8', '8 th round', 'KVA', 'Friday', 'Away', '4:1', '2', '20'), ('08.10.2023', '9', '9 th round', 'BUD', 'Sunday', 'Home', '4:3', '2', '23'), ('13.10.2023', '10', '10 th round', 'SPA', 'Friday', 'Home', '4:2', '2', '26'), ('15.10.2023', '11', '11 th round', 'KLA', 'Sunday', 'Home', '5:4pp', '2', '28'), ('20.10.2023', '12', '12 th round', 'VIT', 'Friday', 'Home', '6:3', '2', '31'), ('22.10.2023', '13', '13 th round', 'OLO', 'Sunday', 'Away', '1:2', '2', '31'), ('27.10.2023', '14', '14 th round', 'PAR', 'Friday', 'Home', '4:1', '1', '34'), ('29.10.2023', '15', '15 th round', 'PLZ', 'Sunday', 'Away', '2:5', '2', '34')</v>
      </c>
    </row>
    <row r="363" spans="1:23" x14ac:dyDescent="0.25">
      <c r="A363" s="2">
        <v>45230</v>
      </c>
      <c r="B363" s="1">
        <v>16</v>
      </c>
      <c r="C363" s="1" t="s">
        <v>104</v>
      </c>
      <c r="D363" s="1" t="s">
        <v>11</v>
      </c>
      <c r="E363" s="1" t="s">
        <v>59</v>
      </c>
      <c r="F363" s="1" t="s">
        <v>157</v>
      </c>
      <c r="G363" s="11" t="s">
        <v>202</v>
      </c>
      <c r="H363" s="1">
        <v>2</v>
      </c>
      <c r="I363" s="1">
        <v>37</v>
      </c>
      <c r="L363" t="s">
        <v>154</v>
      </c>
      <c r="M363" t="str">
        <f>CONCATENATE("(","'",TEXT(A363,"dd.m.rrrrr"),"'",L363,"'",B363,"'",L363,"'",C363,"'",L363,"'",D363,"'",L363,"'",E363,"'",L363,"'",F363,"'",L363,"'",G363,"'",L363,"'",H363,"'",L363,"'",I363,"'",")")</f>
        <v>('31.10.2023', '16', '16 th round', 'BRN', 'Tuesday', 'Home', '6:3', '2', '37')</v>
      </c>
      <c r="W363" t="str">
        <f t="shared" si="5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'17'), ('04.11.2022', '18', '18 th round', 'KLA', 'Friday', 'Away', '2:3pp', '14', '18'), ('06.11.2022', '19', '19 th round', 'KVA', 'Sunday', 'Home', '5:3', '12', '21'), ('18.11.2022', '20', '20 th round', 'HRK', 'Friday', 'Away', '0:3', '13', '21'), ('20.11.2022', '21', '21 th round', 'BRN', 'Sunday', 'Home', '5:1', '11', '24'), ('25.11.2022', '22', '22 th round', 'TRI', 'Friday', 'Home', '1:2pp', '12', '25'), ('27.11.2022', '23', '23 th round', 'MBO', 'Sunday', 'Away', '4:6', '12', '25'), ('29.11.2022', '24', '24 th round', 'PLZ', 'Tuesday', 'Home', '2:4', '12', '25'), ('04.12.2022', '25', '26 th round', 'OLO', 'Sunday', 'Home', '5:3', '12', '28'), ('06.12.2022', '26', '25 th round', 'PAR', 'Tuesday', 'Away', '0:1', '12', '28'), ('09.12.2022', '27', '27 th round', 'VIT', 'Friday', 'Home', '5:3', '12', '31'), ('11.12.2022', '28', '28 th round', 'SPA', 'Sunday', 'Home', '5:2', '12', '34'), ('20.12.2022', '29', '29 th round', 'LIB', 'Tuesday', 'Home', '3:2sn', '11', '36'), ('22.12.2022', '30', '30 th round', 'BUD', 'Thursday', 'Away', '5:2', '11', '39'), ('26.12.2022', '31', '31 th round', 'KLA', 'Monday', 'Home', '2:3', '11', '39'), ('28.12.2022', '32', '32 th round', 'KVA', 'Wednesday', 'Away', '0:3', '11', '39'), ('30.12.2022', '33', '33 th round', 'HRK', 'Friday', 'Home', '2:3pp', '11', '40'), ('03.1.2023', '34', '34 th round', 'BRN', 'Tuesday', 'Away', '1:3', '12', '40'), ('06.1.2023', '35', '35 th round', 'TRI', 'Friday', 'Away', '2:3pp', '11', '41'), ('08.1.2023', '36', '36 th round', 'MBO', 'Sunday', 'Home', '4:3', '10', '44'), ('13.1.2023', '37', '37 th round', 'PLZ', 'Friday', 'Away', '1:4', '11', '44'), ('15.1.2023', '38', '38 th round', 'PAR', 'Sunday', 'Home', '1:2', '11', '44'), ('20.1.2023', '39', '39 th round', 'OLO', 'Friday', 'Away', '8:1', '10', '47'), ('22.1.2023', '40', '40 th round', 'VIT', 'Sunday', 'Away', '3:2sn', '11', '49'), ('25.1.2023', '41', '41 th round', 'SPA', 'Wednesday', 'Away', '2:3', '12', '49'), ('27.1.2023', '42', '42 th round', 'LIB', 'Friday', 'Away', '1:5', '13', '49'), ('29.1.2023', '43', '43 th round', 'BUD', 'Sunday', 'Home', '1:0sn', '12', '51'), ('03.2.2023', '44', '44 th round', 'KLA', 'Friday', 'Away', '2:5', '12', '51'), ('05.2.2023', '45', '45 th round', 'KVA', 'Sunday', 'Home', '1:2pp', '12', '52'), ('15.2.2023', '46', '46 th round', 'HRK', 'Wednesday', 'Away', '0:3', '12', '52'), ('17.2.2023', '47', '47 th round', 'BRN', 'Friday', 'Home', '3:2sn', '12', '54'), ('19.2.2023', '48', '48 th round', 'TRI', 'Sunday', 'Home', '4:3pp', '12', '56'), ('24.2.2023', '49', '49 th round', 'MBO', 'Friday', 'Away', '2:1', '12', '59'), ('26.2.2023', '50', '50 th round', 'PLZ', 'Sunday', 'Home', '2:1', '11', '62'), ('03.3.2023', '51', '51 th round', 'PAR', 'Friday', 'Away', '3:2sn', '12', '64'), ('05.3.2023', '52', '52 th round', 'OLO', 'Sunday', 'Home', '5:1', '11', '67'), ('08.3.2023', '53', 'Playoff 1st round ', 'TRI', 'Wednesday', 'Away', '1:3', '', ''), ('09.3.2023', '54', 'Playoff 1st round ', 'TRI', 'Thursday', 'Away', '4:5pp', '', ''), ('11.3.2023', '55', 'Playoff 1st round ', 'TRI', 'Saturday', 'Home', '2:4', '', ''), ('15.9.2023', '1', '1st round', 'PAR', 'Friday', 'Away', '1:5', '13', '0'), ('17.9.2023', '2', '2nd round', 'PLZ', 'Sunday', 'Home', '4:2', '10', '3'), ('22.9.2023', '3', '3rd round', 'BRN', 'Friday', 'Away', '3:2', '7', '6'), ('24.9.2023', '4', '4 th round', 'LIB', 'Sunday', 'Home', '4:1', '3', '9'), ('27.9.2023', '5', '5 th round', 'HRK', 'Wednesday', 'Away', '3:2sn', '3', '11'), ('29.9.2023', '6', '6 th round', 'MBO', 'Friday', 'Home', '5:2', '3', '14'), ('01.10.2023', '7', '7 th round', 'TRI', 'Sunday', 'Home', '6:4', '2', '17'), ('06.10.2023', '8', '8 th round', 'KVA', 'Friday', 'Away', '4:1', '2', '20'), ('08.10.2023', '9', '9 th round', 'BUD', 'Sunday', 'Home', '4:3', '2', '23'), ('13.10.2023', '10', '10 th round', 'SPA', 'Friday', 'Home', '4:2', '2', '26'), ('15.10.2023', '11', '11 th round', 'KLA', 'Sunday', 'Home', '5:4pp', '2', '28'), ('20.10.2023', '12', '12 th round', 'VIT', 'Friday', 'Home', '6:3', '2', '31'), ('22.10.2023', '13', '13 th round', 'OLO', 'Sunday', 'Away', '1:2', '2', '31'), ('27.10.2023', '14', '14 th round', 'PAR', 'Friday', 'Home', '4:1', '1', '34'), ('29.10.2023', '15', '15 th round', 'PLZ', 'Sunday', 'Away', '2:5', '2', '34'), ('31.10.2023', '16', '16 th round', 'BRN', 'Tuesday', 'Home', '6:3', '2', '37')</v>
      </c>
    </row>
    <row r="364" spans="1:23" x14ac:dyDescent="0.25">
      <c r="A364" s="2">
        <v>45233</v>
      </c>
      <c r="B364" s="1">
        <v>17</v>
      </c>
      <c r="C364" s="1" t="s">
        <v>105</v>
      </c>
      <c r="D364" s="1" t="s">
        <v>1</v>
      </c>
      <c r="E364" s="1" t="s">
        <v>55</v>
      </c>
      <c r="F364" s="1" t="s">
        <v>155</v>
      </c>
      <c r="G364" s="11" t="s">
        <v>176</v>
      </c>
      <c r="H364" s="1">
        <v>2</v>
      </c>
      <c r="I364" s="1">
        <v>37</v>
      </c>
      <c r="L364" t="s">
        <v>154</v>
      </c>
      <c r="M364" t="str">
        <f>CONCATENATE("(","'",TEXT(A364,"dd.m.rrrrr"),"'",L364,"'",B364,"'",L364,"'",C364,"'",L364,"'",D364,"'",L364,"'",E364,"'",L364,"'",F364,"'",L364,"'",G364,"'",L364,"'",H364,"'",L364,"'",I364,"'",")")</f>
        <v>('03.11.2023', '17', '17 th round', 'LIB', 'Friday', 'Away', '2:5', '2', '37')</v>
      </c>
      <c r="W364" t="str">
        <f t="shared" si="5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'17'), ('04.11.2022', '18', '18 th round', 'KLA', 'Friday', 'Away', '2:3pp', '14', '18'), ('06.11.2022', '19', '19 th round', 'KVA', 'Sunday', 'Home', '5:3', '12', '21'), ('18.11.2022', '20', '20 th round', 'HRK', 'Friday', 'Away', '0:3', '13', '21'), ('20.11.2022', '21', '21 th round', 'BRN', 'Sunday', 'Home', '5:1', '11', '24'), ('25.11.2022', '22', '22 th round', 'TRI', 'Friday', 'Home', '1:2pp', '12', '25'), ('27.11.2022', '23', '23 th round', 'MBO', 'Sunday', 'Away', '4:6', '12', '25'), ('29.11.2022', '24', '24 th round', 'PLZ', 'Tuesday', 'Home', '2:4', '12', '25'), ('04.12.2022', '25', '26 th round', 'OLO', 'Sunday', 'Home', '5:3', '12', '28'), ('06.12.2022', '26', '25 th round', 'PAR', 'Tuesday', 'Away', '0:1', '12', '28'), ('09.12.2022', '27', '27 th round', 'VIT', 'Friday', 'Home', '5:3', '12', '31'), ('11.12.2022', '28', '28 th round', 'SPA', 'Sunday', 'Home', '5:2', '12', '34'), ('20.12.2022', '29', '29 th round', 'LIB', 'Tuesday', 'Home', '3:2sn', '11', '36'), ('22.12.2022', '30', '30 th round', 'BUD', 'Thursday', 'Away', '5:2', '11', '39'), ('26.12.2022', '31', '31 th round', 'KLA', 'Monday', 'Home', '2:3', '11', '39'), ('28.12.2022', '32', '32 th round', 'KVA', 'Wednesday', 'Away', '0:3', '11', '39'), ('30.12.2022', '33', '33 th round', 'HRK', 'Friday', 'Home', '2:3pp', '11', '40'), ('03.1.2023', '34', '34 th round', 'BRN', 'Tuesday', 'Away', '1:3', '12', '40'), ('06.1.2023', '35', '35 th round', 'TRI', 'Friday', 'Away', '2:3pp', '11', '41'), ('08.1.2023', '36', '36 th round', 'MBO', 'Sunday', 'Home', '4:3', '10', '44'), ('13.1.2023', '37', '37 th round', 'PLZ', 'Friday', 'Away', '1:4', '11', '44'), ('15.1.2023', '38', '38 th round', 'PAR', 'Sunday', 'Home', '1:2', '11', '44'), ('20.1.2023', '39', '39 th round', 'OLO', 'Friday', 'Away', '8:1', '10', '47'), ('22.1.2023', '40', '40 th round', 'VIT', 'Sunday', 'Away', '3:2sn', '11', '49'), ('25.1.2023', '41', '41 th round', 'SPA', 'Wednesday', 'Away', '2:3', '12', '49'), ('27.1.2023', '42', '42 th round', 'LIB', 'Friday', 'Away', '1:5', '13', '49'), ('29.1.2023', '43', '43 th round', 'BUD', 'Sunday', 'Home', '1:0sn', '12', '51'), ('03.2.2023', '44', '44 th round', 'KLA', 'Friday', 'Away', '2:5', '12', '51'), ('05.2.2023', '45', '45 th round', 'KVA', 'Sunday', 'Home', '1:2pp', '12', '52'), ('15.2.2023', '46', '46 th round', 'HRK', 'Wednesday', 'Away', '0:3', '12', '52'), ('17.2.2023', '47', '47 th round', 'BRN', 'Friday', 'Home', '3:2sn', '12', '54'), ('19.2.2023', '48', '48 th round', 'TRI', 'Sunday', 'Home', '4:3pp', '12', '56'), ('24.2.2023', '49', '49 th round', 'MBO', 'Friday', 'Away', '2:1', '12', '59'), ('26.2.2023', '50', '50 th round', 'PLZ', 'Sunday', 'Home', '2:1', '11', '62'), ('03.3.2023', '51', '51 th round', 'PAR', 'Friday', 'Away', '3:2sn', '12', '64'), ('05.3.2023', '52', '52 th round', 'OLO', 'Sunday', 'Home', '5:1', '11', '67'), ('08.3.2023', '53', 'Playoff 1st round ', 'TRI', 'Wednesday', 'Away', '1:3', '', ''), ('09.3.2023', '54', 'Playoff 1st round ', 'TRI', 'Thursday', 'Away', '4:5pp', '', ''), ('11.3.2023', '55', 'Playoff 1st round ', 'TRI', 'Saturday', 'Home', '2:4', '', ''), ('15.9.2023', '1', '1st round', 'PAR', 'Friday', 'Away', '1:5', '13', '0'), ('17.9.2023', '2', '2nd round', 'PLZ', 'Sunday', 'Home', '4:2', '10', '3'), ('22.9.2023', '3', '3rd round', 'BRN', 'Friday', 'Away', '3:2', '7', '6'), ('24.9.2023', '4', '4 th round', 'LIB', 'Sunday', 'Home', '4:1', '3', '9'), ('27.9.2023', '5', '5 th round', 'HRK', 'Wednesday', 'Away', '3:2sn', '3', '11'), ('29.9.2023', '6', '6 th round', 'MBO', 'Friday', 'Home', '5:2', '3', '14'), ('01.10.2023', '7', '7 th round', 'TRI', 'Sunday', 'Home', '6:4', '2', '17'), ('06.10.2023', '8', '8 th round', 'KVA', 'Friday', 'Away', '4:1', '2', '20'), ('08.10.2023', '9', '9 th round', 'BUD', 'Sunday', 'Home', '4:3', '2', '23'), ('13.10.2023', '10', '10 th round', 'SPA', 'Friday', 'Home', '4:2', '2', '26'), ('15.10.2023', '11', '11 th round', 'KLA', 'Sunday', 'Home', '5:4pp', '2', '28'), ('20.10.2023', '12', '12 th round', 'VIT', 'Friday', 'Home', '6:3', '2', '31'), ('22.10.2023', '13', '13 th round', 'OLO', 'Sunday', 'Away', '1:2', '2', '31'), ('27.10.2023', '14', '14 th round', 'PAR', 'Friday', 'Home', '4:1', '1', '34'), ('29.10.2023', '15', '15 th round', 'PLZ', 'Sunday', 'Away', '2:5', '2', '34'), ('31.10.2023', '16', '16 th round', 'BRN', 'Tuesday', 'Home', '6:3', '2', '37'), ('03.11.2023', '17', '17 th round', 'LIB', 'Friday', 'Away', '2:5', '2', '37')</v>
      </c>
    </row>
    <row r="365" spans="1:23" x14ac:dyDescent="0.25">
      <c r="A365" s="2">
        <v>45235</v>
      </c>
      <c r="B365" s="1">
        <v>18</v>
      </c>
      <c r="C365" s="1" t="s">
        <v>106</v>
      </c>
      <c r="D365" s="1" t="s">
        <v>2</v>
      </c>
      <c r="E365" s="1" t="s">
        <v>57</v>
      </c>
      <c r="F365" s="1" t="s">
        <v>157</v>
      </c>
      <c r="G365" s="11" t="s">
        <v>162</v>
      </c>
      <c r="H365" s="1">
        <v>2</v>
      </c>
      <c r="I365" s="1">
        <v>37</v>
      </c>
      <c r="L365" t="s">
        <v>154</v>
      </c>
      <c r="M365" t="str">
        <f>CONCATENATE("(","'",TEXT(A365,"dd.m.rrrrr"),"'",L365,"'",B365,"'",L365,"'",C365,"'",L365,"'",D365,"'",L365,"'",E365,"'",L365,"'",F365,"'",L365,"'",G365,"'",L365,"'",H365,"'",L365,"'",I365,"'",")")</f>
        <v>('05.11.2023', '18', '18 th round', 'HRK', 'Sunday', 'Home', '0:2', '2', '37')</v>
      </c>
      <c r="W365" t="str">
        <f t="shared" si="5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'17'), ('04.11.2022', '18', '18 th round', 'KLA', 'Friday', 'Away', '2:3pp', '14', '18'), ('06.11.2022', '19', '19 th round', 'KVA', 'Sunday', 'Home', '5:3', '12', '21'), ('18.11.2022', '20', '20 th round', 'HRK', 'Friday', 'Away', '0:3', '13', '21'), ('20.11.2022', '21', '21 th round', 'BRN', 'Sunday', 'Home', '5:1', '11', '24'), ('25.11.2022', '22', '22 th round', 'TRI', 'Friday', 'Home', '1:2pp', '12', '25'), ('27.11.2022', '23', '23 th round', 'MBO', 'Sunday', 'Away', '4:6', '12', '25'), ('29.11.2022', '24', '24 th round', 'PLZ', 'Tuesday', 'Home', '2:4', '12', '25'), ('04.12.2022', '25', '26 th round', 'OLO', 'Sunday', 'Home', '5:3', '12', '28'), ('06.12.2022', '26', '25 th round', 'PAR', 'Tuesday', 'Away', '0:1', '12', '28'), ('09.12.2022', '27', '27 th round', 'VIT', 'Friday', 'Home', '5:3', '12', '31'), ('11.12.2022', '28', '28 th round', 'SPA', 'Sunday', 'Home', '5:2', '12', '34'), ('20.12.2022', '29', '29 th round', 'LIB', 'Tuesday', 'Home', '3:2sn', '11', '36'), ('22.12.2022', '30', '30 th round', 'BUD', 'Thursday', 'Away', '5:2', '11', '39'), ('26.12.2022', '31', '31 th round', 'KLA', 'Monday', 'Home', '2:3', '11', '39'), ('28.12.2022', '32', '32 th round', 'KVA', 'Wednesday', 'Away', '0:3', '11', '39'), ('30.12.2022', '33', '33 th round', 'HRK', 'Friday', 'Home', '2:3pp', '11', '40'), ('03.1.2023', '34', '34 th round', 'BRN', 'Tuesday', 'Away', '1:3', '12', '40'), ('06.1.2023', '35', '35 th round', 'TRI', 'Friday', 'Away', '2:3pp', '11', '41'), ('08.1.2023', '36', '36 th round', 'MBO', 'Sunday', 'Home', '4:3', '10', '44'), ('13.1.2023', '37', '37 th round', 'PLZ', 'Friday', 'Away', '1:4', '11', '44'), ('15.1.2023', '38', '38 th round', 'PAR', 'Sunday', 'Home', '1:2', '11', '44'), ('20.1.2023', '39', '39 th round', 'OLO', 'Friday', 'Away', '8:1', '10', '47'), ('22.1.2023', '40', '40 th round', 'VIT', 'Sunday', 'Away', '3:2sn', '11', '49'), ('25.1.2023', '41', '41 th round', 'SPA', 'Wednesday', 'Away', '2:3', '12', '49'), ('27.1.2023', '42', '42 th round', 'LIB', 'Friday', 'Away', '1:5', '13', '49'), ('29.1.2023', '43', '43 th round', 'BUD', 'Sunday', 'Home', '1:0sn', '12', '51'), ('03.2.2023', '44', '44 th round', 'KLA', 'Friday', 'Away', '2:5', '12', '51'), ('05.2.2023', '45', '45 th round', 'KVA', 'Sunday', 'Home', '1:2pp', '12', '52'), ('15.2.2023', '46', '46 th round', 'HRK', 'Wednesday', 'Away', '0:3', '12', '52'), ('17.2.2023', '47', '47 th round', 'BRN', 'Friday', 'Home', '3:2sn', '12', '54'), ('19.2.2023', '48', '48 th round', 'TRI', 'Sunday', 'Home', '4:3pp', '12', '56'), ('24.2.2023', '49', '49 th round', 'MBO', 'Friday', 'Away', '2:1', '12', '59'), ('26.2.2023', '50', '50 th round', 'PLZ', 'Sunday', 'Home', '2:1', '11', '62'), ('03.3.2023', '51', '51 th round', 'PAR', 'Friday', 'Away', '3:2sn', '12', '64'), ('05.3.2023', '52', '52 th round', 'OLO', 'Sunday', 'Home', '5:1', '11', '67'), ('08.3.2023', '53', 'Playoff 1st round ', 'TRI', 'Wednesday', 'Away', '1:3', '', ''), ('09.3.2023', '54', 'Playoff 1st round ', 'TRI', 'Thursday', 'Away', '4:5pp', '', ''), ('11.3.2023', '55', 'Playoff 1st round ', 'TRI', 'Saturday', 'Home', '2:4', '', ''), ('15.9.2023', '1', '1st round', 'PAR', 'Friday', 'Away', '1:5', '13', '0'), ('17.9.2023', '2', '2nd round', 'PLZ', 'Sunday', 'Home', '4:2', '10', '3'), ('22.9.2023', '3', '3rd round', 'BRN', 'Friday', 'Away', '3:2', '7', '6'), ('24.9.2023', '4', '4 th round', 'LIB', 'Sunday', 'Home', '4:1', '3', '9'), ('27.9.2023', '5', '5 th round', 'HRK', 'Wednesday', 'Away', '3:2sn', '3', '11'), ('29.9.2023', '6', '6 th round', 'MBO', 'Friday', 'Home', '5:2', '3', '14'), ('01.10.2023', '7', '7 th round', 'TRI', 'Sunday', 'Home', '6:4', '2', '17'), ('06.10.2023', '8', '8 th round', 'KVA', 'Friday', 'Away', '4:1', '2', '20'), ('08.10.2023', '9', '9 th round', 'BUD', 'Sunday', 'Home', '4:3', '2', '23'), ('13.10.2023', '10', '10 th round', 'SPA', 'Friday', 'Home', '4:2', '2', '26'), ('15.10.2023', '11', '11 th round', 'KLA', 'Sunday', 'Home', '5:4pp', '2', '28'), ('20.10.2023', '12', '12 th round', 'VIT', 'Friday', 'Home', '6:3', '2', '31'), ('22.10.2023', '13', '13 th round', 'OLO', 'Sunday', 'Away', '1:2', '2', '31'), ('27.10.2023', '14', '14 th round', 'PAR', 'Friday', 'Home', '4:1', '1', '34'), ('29.10.2023', '15', '15 th round', 'PLZ', 'Sunday', 'Away', '2:5', '2', '34'), ('31.10.2023', '16', '16 th round', 'BRN', 'Tuesday', 'Home', '6:3', '2', '37'), ('03.11.2023', '17', '17 th round', 'LIB', 'Friday', 'Away', '2:5', '2', '37'), ('05.11.2023', '18', '18 th round', 'HRK', 'Sunday', 'Home', '0:2', '2', '37')</v>
      </c>
    </row>
    <row r="366" spans="1:23" x14ac:dyDescent="0.25">
      <c r="A366" s="2">
        <v>45247</v>
      </c>
      <c r="B366" s="1">
        <v>19</v>
      </c>
      <c r="C366" s="1" t="s">
        <v>107</v>
      </c>
      <c r="D366" s="1" t="s">
        <v>7</v>
      </c>
      <c r="E366" s="1" t="s">
        <v>55</v>
      </c>
      <c r="F366" s="1" t="s">
        <v>155</v>
      </c>
      <c r="G366" s="11" t="s">
        <v>165</v>
      </c>
      <c r="H366" s="1">
        <v>3</v>
      </c>
      <c r="I366" s="1">
        <v>37</v>
      </c>
      <c r="L366" t="s">
        <v>154</v>
      </c>
      <c r="M366" t="str">
        <f>CONCATENATE("(","'",TEXT(A366,"dd.m.rrrrr"),"'",L366,"'",B366,"'",L366,"'",C366,"'",L366,"'",D366,"'",L366,"'",E366,"'",L366,"'",F366,"'",L366,"'",G366,"'",L366,"'",H366,"'",L366,"'",I366,"'",")")</f>
        <v>('17.11.2023', '19', '19 th round', 'MBO', 'Friday', 'Away', '0:5', '3', '37')</v>
      </c>
      <c r="W366" t="str">
        <f t="shared" si="5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'17'), ('04.11.2022', '18', '18 th round', 'KLA', 'Friday', 'Away', '2:3pp', '14', '18'), ('06.11.2022', '19', '19 th round', 'KVA', 'Sunday', 'Home', '5:3', '12', '21'), ('18.11.2022', '20', '20 th round', 'HRK', 'Friday', 'Away', '0:3', '13', '21'), ('20.11.2022', '21', '21 th round', 'BRN', 'Sunday', 'Home', '5:1', '11', '24'), ('25.11.2022', '22', '22 th round', 'TRI', 'Friday', 'Home', '1:2pp', '12', '25'), ('27.11.2022', '23', '23 th round', 'MBO', 'Sunday', 'Away', '4:6', '12', '25'), ('29.11.2022', '24', '24 th round', 'PLZ', 'Tuesday', 'Home', '2:4', '12', '25'), ('04.12.2022', '25', '26 th round', 'OLO', 'Sunday', 'Home', '5:3', '12', '28'), ('06.12.2022', '26', '25 th round', 'PAR', 'Tuesday', 'Away', '0:1', '12', '28'), ('09.12.2022', '27', '27 th round', 'VIT', 'Friday', 'Home', '5:3', '12', '31'), ('11.12.2022', '28', '28 th round', 'SPA', 'Sunday', 'Home', '5:2', '12', '34'), ('20.12.2022', '29', '29 th round', 'LIB', 'Tuesday', 'Home', '3:2sn', '11', '36'), ('22.12.2022', '30', '30 th round', 'BUD', 'Thursday', 'Away', '5:2', '11', '39'), ('26.12.2022', '31', '31 th round', 'KLA', 'Monday', 'Home', '2:3', '11', '39'), ('28.12.2022', '32', '32 th round', 'KVA', 'Wednesday', 'Away', '0:3', '11', '39'), ('30.12.2022', '33', '33 th round', 'HRK', 'Friday', 'Home', '2:3pp', '11', '40'), ('03.1.2023', '34', '34 th round', 'BRN', 'Tuesday', 'Away', '1:3', '12', '40'), ('06.1.2023', '35', '35 th round', 'TRI', 'Friday', 'Away', '2:3pp', '11', '41'), ('08.1.2023', '36', '36 th round', 'MBO', 'Sunday', 'Home', '4:3', '10', '44'), ('13.1.2023', '37', '37 th round', 'PLZ', 'Friday', 'Away', '1:4', '11', '44'), ('15.1.2023', '38', '38 th round', 'PAR', 'Sunday', 'Home', '1:2', '11', '44'), ('20.1.2023', '39', '39 th round', 'OLO', 'Friday', 'Away', '8:1', '10', '47'), ('22.1.2023', '40', '40 th round', 'VIT', 'Sunday', 'Away', '3:2sn', '11', '49'), ('25.1.2023', '41', '41 th round', 'SPA', 'Wednesday', 'Away', '2:3', '12', '49'), ('27.1.2023', '42', '42 th round', 'LIB', 'Friday', 'Away', '1:5', '13', '49'), ('29.1.2023', '43', '43 th round', 'BUD', 'Sunday', 'Home', '1:0sn', '12', '51'), ('03.2.2023', '44', '44 th round', 'KLA', 'Friday', 'Away', '2:5', '12', '51'), ('05.2.2023', '45', '45 th round', 'KVA', 'Sunday', 'Home', '1:2pp', '12', '52'), ('15.2.2023', '46', '46 th round', 'HRK', 'Wednesday', 'Away', '0:3', '12', '52'), ('17.2.2023', '47', '47 th round', 'BRN', 'Friday', 'Home', '3:2sn', '12', '54'), ('19.2.2023', '48', '48 th round', 'TRI', 'Sunday', 'Home', '4:3pp', '12', '56'), ('24.2.2023', '49', '49 th round', 'MBO', 'Friday', 'Away', '2:1', '12', '59'), ('26.2.2023', '50', '50 th round', 'PLZ', 'Sunday', 'Home', '2:1', '11', '62'), ('03.3.2023', '51', '51 th round', 'PAR', 'Friday', 'Away', '3:2sn', '12', '64'), ('05.3.2023', '52', '52 th round', 'OLO', 'Sunday', 'Home', '5:1', '11', '67'), ('08.3.2023', '53', 'Playoff 1st round ', 'TRI', 'Wednesday', 'Away', '1:3', '', ''), ('09.3.2023', '54', 'Playoff 1st round ', 'TRI', 'Thursday', 'Away', '4:5pp', '', ''), ('11.3.2023', '55', 'Playoff 1st round ', 'TRI', 'Saturday', 'Home', '2:4', '', ''), ('15.9.2023', '1', '1st round', 'PAR', 'Friday', 'Away', '1:5', '13', '0'), ('17.9.2023', '2', '2nd round', 'PLZ', 'Sunday', 'Home', '4:2', '10', '3'), ('22.9.2023', '3', '3rd round', 'BRN', 'Friday', 'Away', '3:2', '7', '6'), ('24.9.2023', '4', '4 th round', 'LIB', 'Sunday', 'Home', '4:1', '3', '9'), ('27.9.2023', '5', '5 th round', 'HRK', 'Wednesday', 'Away', '3:2sn', '3', '11'), ('29.9.2023', '6', '6 th round', 'MBO', 'Friday', 'Home', '5:2', '3', '14'), ('01.10.2023', '7', '7 th round', 'TRI', 'Sunday', 'Home', '6:4', '2', '17'), ('06.10.2023', '8', '8 th round', 'KVA', 'Friday', 'Away', '4:1', '2', '20'), ('08.10.2023', '9', '9 th round', 'BUD', 'Sunday', 'Home', '4:3', '2', '23'), ('13.10.2023', '10', '10 th round', 'SPA', 'Friday', 'Home', '4:2', '2', '26'), ('15.10.2023', '11', '11 th round', 'KLA', 'Sunday', 'Home', '5:4pp', '2', '28'), ('20.10.2023', '12', '12 th round', 'VIT', 'Friday', 'Home', '6:3', '2', '31'), ('22.10.2023', '13', '13 th round', 'OLO', 'Sunday', 'Away', '1:2', '2', '31'), ('27.10.2023', '14', '14 th round', 'PAR', 'Friday', 'Home', '4:1', '1', '34'), ('29.10.2023', '15', '15 th round', 'PLZ', 'Sunday', 'Away', '2:5', '2', '34'), ('31.10.2023', '16', '16 th round', 'BRN', 'Tuesday', 'Home', '6:3', '2', '37'), ('03.11.2023', '17', '17 th round', 'LIB', 'Friday', 'Away', '2:5', '2', '37'), ('05.11.2023', '18', '18 th round', 'HRK', 'Sunday', 'Home', '0:2', '2', '37'), ('17.11.2023', '19', '19 th round', 'MBO', 'Friday', 'Away', '0:5', '3', '37')</v>
      </c>
    </row>
    <row r="367" spans="1:23" x14ac:dyDescent="0.25">
      <c r="A367" s="2">
        <v>45249</v>
      </c>
      <c r="B367" s="1">
        <v>20</v>
      </c>
      <c r="C367" s="1" t="s">
        <v>108</v>
      </c>
      <c r="D367" s="1" t="s">
        <v>6</v>
      </c>
      <c r="E367" s="1" t="s">
        <v>57</v>
      </c>
      <c r="F367" s="1" t="s">
        <v>155</v>
      </c>
      <c r="G367" s="3" t="s">
        <v>31</v>
      </c>
      <c r="H367" s="1">
        <v>3</v>
      </c>
      <c r="I367" s="1">
        <v>39</v>
      </c>
      <c r="L367" t="s">
        <v>154</v>
      </c>
      <c r="M367" t="str">
        <f>CONCATENATE("(","'",TEXT(A367,"dd.m.rrrrr"),"'",L367,"'",B367,"'",L367,"'",C367,"'",L367,"'",D367,"'",L367,"'",E367,"'",L367,"'",F367,"'",L367,"'",G367,"'",L367,"'",H367,"'",L367,"'",I367,"'",")")</f>
        <v>('19.11.2023', '20', '20 th round', 'TRI', 'Sunday', 'Away', '3:2pp', '3', '39')</v>
      </c>
      <c r="W367" t="str">
        <f t="shared" si="5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'17'), ('04.11.2022', '18', '18 th round', 'KLA', 'Friday', 'Away', '2:3pp', '14', '18'), ('06.11.2022', '19', '19 th round', 'KVA', 'Sunday', 'Home', '5:3', '12', '21'), ('18.11.2022', '20', '20 th round', 'HRK', 'Friday', 'Away', '0:3', '13', '21'), ('20.11.2022', '21', '21 th round', 'BRN', 'Sunday', 'Home', '5:1', '11', '24'), ('25.11.2022', '22', '22 th round', 'TRI', 'Friday', 'Home', '1:2pp', '12', '25'), ('27.11.2022', '23', '23 th round', 'MBO', 'Sunday', 'Away', '4:6', '12', '25'), ('29.11.2022', '24', '24 th round', 'PLZ', 'Tuesday', 'Home', '2:4', '12', '25'), ('04.12.2022', '25', '26 th round', 'OLO', 'Sunday', 'Home', '5:3', '12', '28'), ('06.12.2022', '26', '25 th round', 'PAR', 'Tuesday', 'Away', '0:1', '12', '28'), ('09.12.2022', '27', '27 th round', 'VIT', 'Friday', 'Home', '5:3', '12', '31'), ('11.12.2022', '28', '28 th round', 'SPA', 'Sunday', 'Home', '5:2', '12', '34'), ('20.12.2022', '29', '29 th round', 'LIB', 'Tuesday', 'Home', '3:2sn', '11', '36'), ('22.12.2022', '30', '30 th round', 'BUD', 'Thursday', 'Away', '5:2', '11', '39'), ('26.12.2022', '31', '31 th round', 'KLA', 'Monday', 'Home', '2:3', '11', '39'), ('28.12.2022', '32', '32 th round', 'KVA', 'Wednesday', 'Away', '0:3', '11', '39'), ('30.12.2022', '33', '33 th round', 'HRK', 'Friday', 'Home', '2:3pp', '11', '40'), ('03.1.2023', '34', '34 th round', 'BRN', 'Tuesday', 'Away', '1:3', '12', '40'), ('06.1.2023', '35', '35 th round', 'TRI', 'Friday', 'Away', '2:3pp', '11', '41'), ('08.1.2023', '36', '36 th round', 'MBO', 'Sunday', 'Home', '4:3', '10', '44'), ('13.1.2023', '37', '37 th round', 'PLZ', 'Friday', 'Away', '1:4', '11', '44'), ('15.1.2023', '38', '38 th round', 'PAR', 'Sunday', 'Home', '1:2', '11', '44'), ('20.1.2023', '39', '39 th round', 'OLO', 'Friday', 'Away', '8:1', '10', '47'), ('22.1.2023', '40', '40 th round', 'VIT', 'Sunday', 'Away', '3:2sn', '11', '49'), ('25.1.2023', '41', '41 th round', 'SPA', 'Wednesday', 'Away', '2:3', '12', '49'), ('27.1.2023', '42', '42 th round', 'LIB', 'Friday', 'Away', '1:5', '13', '49'), ('29.1.2023', '43', '43 th round', 'BUD', 'Sunday', 'Home', '1:0sn', '12', '51'), ('03.2.2023', '44', '44 th round', 'KLA', 'Friday', 'Away', '2:5', '12', '51'), ('05.2.2023', '45', '45 th round', 'KVA', 'Sunday', 'Home', '1:2pp', '12', '52'), ('15.2.2023', '46', '46 th round', 'HRK', 'Wednesday', 'Away', '0:3', '12', '52'), ('17.2.2023', '47', '47 th round', 'BRN', 'Friday', 'Home', '3:2sn', '12', '54'), ('19.2.2023', '48', '48 th round', 'TRI', 'Sunday', 'Home', '4:3pp', '12', '56'), ('24.2.2023', '49', '49 th round', 'MBO', 'Friday', 'Away', '2:1', '12', '59'), ('26.2.2023', '50', '50 th round', 'PLZ', 'Sunday', 'Home', '2:1', '11', '62'), ('03.3.2023', '51', '51 th round', 'PAR', 'Friday', 'Away', '3:2sn', '12', '64'), ('05.3.2023', '52', '52 th round', 'OLO', 'Sunday', 'Home', '5:1', '11', '67'), ('08.3.2023', '53', 'Playoff 1st round ', 'TRI', 'Wednesday', 'Away', '1:3', '', ''), ('09.3.2023', '54', 'Playoff 1st round ', 'TRI', 'Thursday', 'Away', '4:5pp', '', ''), ('11.3.2023', '55', 'Playoff 1st round ', 'TRI', 'Saturday', 'Home', '2:4', '', ''), ('15.9.2023', '1', '1st round', 'PAR', 'Friday', 'Away', '1:5', '13', '0'), ('17.9.2023', '2', '2nd round', 'PLZ', 'Sunday', 'Home', '4:2', '10', '3'), ('22.9.2023', '3', '3rd round', 'BRN', 'Friday', 'Away', '3:2', '7', '6'), ('24.9.2023', '4', '4 th round', 'LIB', 'Sunday', 'Home', '4:1', '3', '9'), ('27.9.2023', '5', '5 th round', 'HRK', 'Wednesday', 'Away', '3:2sn', '3', '11'), ('29.9.2023', '6', '6 th round', 'MBO', 'Friday', 'Home', '5:2', '3', '14'), ('01.10.2023', '7', '7 th round', 'TRI', 'Sunday', 'Home', '6:4', '2', '17'), ('06.10.2023', '8', '8 th round', 'KVA', 'Friday', 'Away', '4:1', '2', '20'), ('08.10.2023', '9', '9 th round', 'BUD', 'Sunday', 'Home', '4:3', '2', '23'), ('13.10.2023', '10', '10 th round', 'SPA', 'Friday', 'Home', '4:2', '2', '26'), ('15.10.2023', '11', '11 th round', 'KLA', 'Sunday', 'Home', '5:4pp', '2', '28'), ('20.10.2023', '12', '12 th round', 'VIT', 'Friday', 'Home', '6:3', '2', '31'), ('22.10.2023', '13', '13 th round', 'OLO', 'Sunday', 'Away', '1:2', '2', '31'), ('27.10.2023', '14', '14 th round', 'PAR', 'Friday', 'Home', '4:1', '1', '34'), ('29.10.2023', '15', '15 th round', 'PLZ', 'Sunday', 'Away', '2:5', '2', '34'), ('31.10.2023', '16', '16 th round', 'BRN', 'Tuesday', 'Home', '6:3', '2', '37'), ('03.11.2023', '17', '17 th round', 'LIB', 'Friday', 'Away', '2:5', '2', '37'), ('05.11.2023', '18', '18 th round', 'HRK', 'Sunday', 'Home', '0:2', '2', '37'), ('17.11.2023', '19', '19 th round', 'MBO', 'Friday', 'Away', '0:5', '3', '37'), ('19.11.2023', '20', '20 th round', 'TRI', 'Sunday', 'Away', '3:2pp', '3', '39')</v>
      </c>
    </row>
    <row r="368" spans="1:23" x14ac:dyDescent="0.25">
      <c r="A368" s="2">
        <v>45254</v>
      </c>
      <c r="B368" s="1">
        <v>21</v>
      </c>
      <c r="C368" s="1" t="s">
        <v>109</v>
      </c>
      <c r="D368" s="1" t="s">
        <v>27</v>
      </c>
      <c r="E368" s="1" t="s">
        <v>55</v>
      </c>
      <c r="F368" s="1" t="s">
        <v>157</v>
      </c>
      <c r="G368" s="11" t="s">
        <v>203</v>
      </c>
      <c r="H368" s="1">
        <v>3</v>
      </c>
      <c r="I368" s="1">
        <v>42</v>
      </c>
      <c r="L368" t="s">
        <v>154</v>
      </c>
      <c r="M368" t="str">
        <f>CONCATENATE("(","'",TEXT(A368,"dd.m.rrrrr"),"'",L368,"'",B368,"'",L368,"'",C368,"'",L368,"'",D368,"'",L368,"'",E368,"'",L368,"'",F368,"'",L368,"'",G368,"'",L368,"'",H368,"'",L368,"'",I368,"'",")")</f>
        <v>('24.11.2023', '21', '21 th round', 'KVA', 'Friday', 'Home', '6:4', '3', '42')</v>
      </c>
      <c r="W368" t="str">
        <f t="shared" si="5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'17'), ('04.11.2022', '18', '18 th round', 'KLA', 'Friday', 'Away', '2:3pp', '14', '18'), ('06.11.2022', '19', '19 th round', 'KVA', 'Sunday', 'Home', '5:3', '12', '21'), ('18.11.2022', '20', '20 th round', 'HRK', 'Friday', 'Away', '0:3', '13', '21'), ('20.11.2022', '21', '21 th round', 'BRN', 'Sunday', 'Home', '5:1', '11', '24'), ('25.11.2022', '22', '22 th round', 'TRI', 'Friday', 'Home', '1:2pp', '12', '25'), ('27.11.2022', '23', '23 th round', 'MBO', 'Sunday', 'Away', '4:6', '12', '25'), ('29.11.2022', '24', '24 th round', 'PLZ', 'Tuesday', 'Home', '2:4', '12', '25'), ('04.12.2022', '25', '26 th round', 'OLO', 'Sunday', 'Home', '5:3', '12', '28'), ('06.12.2022', '26', '25 th round', 'PAR', 'Tuesday', 'Away', '0:1', '12', '28'), ('09.12.2022', '27', '27 th round', 'VIT', 'Friday', 'Home', '5:3', '12', '31'), ('11.12.2022', '28', '28 th round', 'SPA', 'Sunday', 'Home', '5:2', '12', '34'), ('20.12.2022', '29', '29 th round', 'LIB', 'Tuesday', 'Home', '3:2sn', '11', '36'), ('22.12.2022', '30', '30 th round', 'BUD', 'Thursday', 'Away', '5:2', '11', '39'), ('26.12.2022', '31', '31 th round', 'KLA', 'Monday', 'Home', '2:3', '11', '39'), ('28.12.2022', '32', '32 th round', 'KVA', 'Wednesday', 'Away', '0:3', '11', '39'), ('30.12.2022', '33', '33 th round', 'HRK', 'Friday', 'Home', '2:3pp', '11', '40'), ('03.1.2023', '34', '34 th round', 'BRN', 'Tuesday', 'Away', '1:3', '12', '40'), ('06.1.2023', '35', '35 th round', 'TRI', 'Friday', 'Away', '2:3pp', '11', '41'), ('08.1.2023', '36', '36 th round', 'MBO', 'Sunday', 'Home', '4:3', '10', '44'), ('13.1.2023', '37', '37 th round', 'PLZ', 'Friday', 'Away', '1:4', '11', '44'), ('15.1.2023', '38', '38 th round', 'PAR', 'Sunday', 'Home', '1:2', '11', '44'), ('20.1.2023', '39', '39 th round', 'OLO', 'Friday', 'Away', '8:1', '10', '47'), ('22.1.2023', '40', '40 th round', 'VIT', 'Sunday', 'Away', '3:2sn', '11', '49'), ('25.1.2023', '41', '41 th round', 'SPA', 'Wednesday', 'Away', '2:3', '12', '49'), ('27.1.2023', '42', '42 th round', 'LIB', 'Friday', 'Away', '1:5', '13', '49'), ('29.1.2023', '43', '43 th round', 'BUD', 'Sunday', 'Home', '1:0sn', '12', '51'), ('03.2.2023', '44', '44 th round', 'KLA', 'Friday', 'Away', '2:5', '12', '51'), ('05.2.2023', '45', '45 th round', 'KVA', 'Sunday', 'Home', '1:2pp', '12', '52'), ('15.2.2023', '46', '46 th round', 'HRK', 'Wednesday', 'Away', '0:3', '12', '52'), ('17.2.2023', '47', '47 th round', 'BRN', 'Friday', 'Home', '3:2sn', '12', '54'), ('19.2.2023', '48', '48 th round', 'TRI', 'Sunday', 'Home', '4:3pp', '12', '56'), ('24.2.2023', '49', '49 th round', 'MBO', 'Friday', 'Away', '2:1', '12', '59'), ('26.2.2023', '50', '50 th round', 'PLZ', 'Sunday', 'Home', '2:1', '11', '62'), ('03.3.2023', '51', '51 th round', 'PAR', 'Friday', 'Away', '3:2sn', '12', '64'), ('05.3.2023', '52', '52 th round', 'OLO', 'Sunday', 'Home', '5:1', '11', '67'), ('08.3.2023', '53', 'Playoff 1st round ', 'TRI', 'Wednesday', 'Away', '1:3', '', ''), ('09.3.2023', '54', 'Playoff 1st round ', 'TRI', 'Thursday', 'Away', '4:5pp', '', ''), ('11.3.2023', '55', 'Playoff 1st round ', 'TRI', 'Saturday', 'Home', '2:4', '', ''), ('15.9.2023', '1', '1st round', 'PAR', 'Friday', 'Away', '1:5', '13', '0'), ('17.9.2023', '2', '2nd round', 'PLZ', 'Sunday', 'Home', '4:2', '10', '3'), ('22.9.2023', '3', '3rd round', 'BRN', 'Friday', 'Away', '3:2', '7', '6'), ('24.9.2023', '4', '4 th round', 'LIB', 'Sunday', 'Home', '4:1', '3', '9'), ('27.9.2023', '5', '5 th round', 'HRK', 'Wednesday', 'Away', '3:2sn', '3', '11'), ('29.9.2023', '6', '6 th round', 'MBO', 'Friday', 'Home', '5:2', '3', '14'), ('01.10.2023', '7', '7 th round', 'TRI', 'Sunday', 'Home', '6:4', '2', '17'), ('06.10.2023', '8', '8 th round', 'KVA', 'Friday', 'Away', '4:1', '2', '20'), ('08.10.2023', '9', '9 th round', 'BUD', 'Sunday', 'Home', '4:3', '2', '23'), ('13.10.2023', '10', '10 th round', 'SPA', 'Friday', 'Home', '4:2', '2', '26'), ('15.10.2023', '11', '11 th round', 'KLA', 'Sunday', 'Home', '5:4pp', '2', '28'), ('20.10.2023', '12', '12 th round', 'VIT', 'Friday', 'Home', '6:3', '2', '31'), ('22.10.2023', '13', '13 th round', 'OLO', 'Sunday', 'Away', '1:2', '2', '31'), ('27.10.2023', '14', '14 th round', 'PAR', 'Friday', 'Home', '4:1', '1', '34'), ('29.10.2023', '15', '15 th round', 'PLZ', 'Sunday', 'Away', '2:5', '2', '34'), ('31.10.2023', '16', '16 th round', 'BRN', 'Tuesday', 'Home', '6:3', '2', '37'), ('03.11.2023', '17', '17 th round', 'LIB', 'Friday', 'Away', '2:5', '2', '37'), ('05.11.2023', '18', '18 th round', 'HRK', 'Sunday', 'Home', '0:2', '2', '37'), ('17.11.2023', '19', '19 th round', 'MBO', 'Friday', 'Away', '0:5', '3', '37'), ('19.11.2023', '20', '20 th round', 'TRI', 'Sunday', 'Away', '3:2pp', '3', '39'), ('24.11.2023', '21', '21 th round', 'KVA', 'Friday', 'Home', '6:4', '3', '42')</v>
      </c>
    </row>
    <row r="369" spans="1:23" x14ac:dyDescent="0.25">
      <c r="A369" s="2">
        <v>45256</v>
      </c>
      <c r="B369" s="1">
        <v>22</v>
      </c>
      <c r="C369" s="1" t="s">
        <v>110</v>
      </c>
      <c r="D369" s="1" t="s">
        <v>36</v>
      </c>
      <c r="E369" s="1" t="s">
        <v>57</v>
      </c>
      <c r="F369" s="1" t="s">
        <v>155</v>
      </c>
      <c r="G369" s="11" t="s">
        <v>161</v>
      </c>
      <c r="H369" s="1">
        <v>4</v>
      </c>
      <c r="I369" s="1">
        <v>42</v>
      </c>
      <c r="L369" t="s">
        <v>154</v>
      </c>
      <c r="M369" t="str">
        <f>CONCATENATE("(","'",TEXT(A369,"dd.m.rrrrr"),"'",L369,"'",B369,"'",L369,"'",C369,"'",L369,"'",D369,"'",L369,"'",E369,"'",L369,"'",F369,"'",L369,"'",G369,"'",L369,"'",H369,"'",L369,"'",I369,"'",")")</f>
        <v>('26.11.2023', '22', '22 th round', 'BUD', 'Sunday', 'Away', '0:1', '4', '42')</v>
      </c>
      <c r="W369" t="str">
        <f t="shared" si="5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'17'), ('04.11.2022', '18', '18 th round', 'KLA', 'Friday', 'Away', '2:3pp', '14', '18'), ('06.11.2022', '19', '19 th round', 'KVA', 'Sunday', 'Home', '5:3', '12', '21'), ('18.11.2022', '20', '20 th round', 'HRK', 'Friday', 'Away', '0:3', '13', '21'), ('20.11.2022', '21', '21 th round', 'BRN', 'Sunday', 'Home', '5:1', '11', '24'), ('25.11.2022', '22', '22 th round', 'TRI', 'Friday', 'Home', '1:2pp', '12', '25'), ('27.11.2022', '23', '23 th round', 'MBO', 'Sunday', 'Away', '4:6', '12', '25'), ('29.11.2022', '24', '24 th round', 'PLZ', 'Tuesday', 'Home', '2:4', '12', '25'), ('04.12.2022', '25', '26 th round', 'OLO', 'Sunday', 'Home', '5:3', '12', '28'), ('06.12.2022', '26', '25 th round', 'PAR', 'Tuesday', 'Away', '0:1', '12', '28'), ('09.12.2022', '27', '27 th round', 'VIT', 'Friday', 'Home', '5:3', '12', '31'), ('11.12.2022', '28', '28 th round', 'SPA', 'Sunday', 'Home', '5:2', '12', '34'), ('20.12.2022', '29', '29 th round', 'LIB', 'Tuesday', 'Home', '3:2sn', '11', '36'), ('22.12.2022', '30', '30 th round', 'BUD', 'Thursday', 'Away', '5:2', '11', '39'), ('26.12.2022', '31', '31 th round', 'KLA', 'Monday', 'Home', '2:3', '11', '39'), ('28.12.2022', '32', '32 th round', 'KVA', 'Wednesday', 'Away', '0:3', '11', '39'), ('30.12.2022', '33', '33 th round', 'HRK', 'Friday', 'Home', '2:3pp', '11', '40'), ('03.1.2023', '34', '34 th round', 'BRN', 'Tuesday', 'Away', '1:3', '12', '40'), ('06.1.2023', '35', '35 th round', 'TRI', 'Friday', 'Away', '2:3pp', '11', '41'), ('08.1.2023', '36', '36 th round', 'MBO', 'Sunday', 'Home', '4:3', '10', '44'), ('13.1.2023', '37', '37 th round', 'PLZ', 'Friday', 'Away', '1:4', '11', '44'), ('15.1.2023', '38', '38 th round', 'PAR', 'Sunday', 'Home', '1:2', '11', '44'), ('20.1.2023', '39', '39 th round', 'OLO', 'Friday', 'Away', '8:1', '10', '47'), ('22.1.2023', '40', '40 th round', 'VIT', 'Sunday', 'Away', '3:2sn', '11', '49'), ('25.1.2023', '41', '41 th round', 'SPA', 'Wednesday', 'Away', '2:3', '12', '49'), ('27.1.2023', '42', '42 th round', 'LIB', 'Friday', 'Away', '1:5', '13', '49'), ('29.1.2023', '43', '43 th round', 'BUD', 'Sunday', 'Home', '1:0sn', '12', '51'), ('03.2.2023', '44', '44 th round', 'KLA', 'Friday', 'Away', '2:5', '12', '51'), ('05.2.2023', '45', '45 th round', 'KVA', 'Sunday', 'Home', '1:2pp', '12', '52'), ('15.2.2023', '46', '46 th round', 'HRK', 'Wednesday', 'Away', '0:3', '12', '52'), ('17.2.2023', '47', '47 th round', 'BRN', 'Friday', 'Home', '3:2sn', '12', '54'), ('19.2.2023', '48', '48 th round', 'TRI', 'Sunday', 'Home', '4:3pp', '12', '56'), ('24.2.2023', '49', '49 th round', 'MBO', 'Friday', 'Away', '2:1', '12', '59'), ('26.2.2023', '50', '50 th round', 'PLZ', 'Sunday', 'Home', '2:1', '11', '62'), ('03.3.2023', '51', '51 th round', 'PAR', 'Friday', 'Away', '3:2sn', '12', '64'), ('05.3.2023', '52', '52 th round', 'OLO', 'Sunday', 'Home', '5:1', '11', '67'), ('08.3.2023', '53', 'Playoff 1st round ', 'TRI', 'Wednesday', 'Away', '1:3', '', ''), ('09.3.2023', '54', 'Playoff 1st round ', 'TRI', 'Thursday', 'Away', '4:5pp', '', ''), ('11.3.2023', '55', 'Playoff 1st round ', 'TRI', 'Saturday', 'Home', '2:4', '', ''), ('15.9.2023', '1', '1st round', 'PAR', 'Friday', 'Away', '1:5', '13', '0'), ('17.9.2023', '2', '2nd round', 'PLZ', 'Sunday', 'Home', '4:2', '10', '3'), ('22.9.2023', '3', '3rd round', 'BRN', 'Friday', 'Away', '3:2', '7', '6'), ('24.9.2023', '4', '4 th round', 'LIB', 'Sunday', 'Home', '4:1', '3', '9'), ('27.9.2023', '5', '5 th round', 'HRK', 'Wednesday', 'Away', '3:2sn', '3', '11'), ('29.9.2023', '6', '6 th round', 'MBO', 'Friday', 'Home', '5:2', '3', '14'), ('01.10.2023', '7', '7 th round', 'TRI', 'Sunday', 'Home', '6:4', '2', '17'), ('06.10.2023', '8', '8 th round', 'KVA', 'Friday', 'Away', '4:1', '2', '20'), ('08.10.2023', '9', '9 th round', 'BUD', 'Sunday', 'Home', '4:3', '2', '23'), ('13.10.2023', '10', '10 th round', 'SPA', 'Friday', 'Home', '4:2', '2', '26'), ('15.10.2023', '11', '11 th round', 'KLA', 'Sunday', 'Home', '5:4pp', '2', '28'), ('20.10.2023', '12', '12 th round', 'VIT', 'Friday', 'Home', '6:3', '2', '31'), ('22.10.2023', '13', '13 th round', 'OLO', 'Sunday', 'Away', '1:2', '2', '31'), ('27.10.2023', '14', '14 th round', 'PAR', 'Friday', 'Home', '4:1', '1', '34'), ('29.10.2023', '15', '15 th round', 'PLZ', 'Sunday', 'Away', '2:5', '2', '34'), ('31.10.2023', '16', '16 th round', 'BRN', 'Tuesday', 'Home', '6:3', '2', '37'), ('03.11.2023', '17', '17 th round', 'LIB', 'Friday', 'Away', '2:5', '2', '37'), ('05.11.2023', '18', '18 th round', 'HRK', 'Sunday', 'Home', '0:2', '2', '37'), ('17.11.2023', '19', '19 th round', 'MBO', 'Friday', 'Away', '0:5', '3', '37'), ('19.11.2023', '20', '20 th round', 'TRI', 'Sunday', 'Away', '3:2pp', '3', '39'), ('24.11.2023', '21', '21 th round', 'KVA', 'Friday', 'Home', '6:4', '3', '42'), ('26.11.2023', '22', '22 th round', 'BUD', 'Sunday', 'Away', '0:1', '4', '42')</v>
      </c>
    </row>
    <row r="370" spans="1:23" x14ac:dyDescent="0.25">
      <c r="A370" s="2">
        <v>45258</v>
      </c>
      <c r="B370" s="1">
        <v>23</v>
      </c>
      <c r="C370" s="1" t="s">
        <v>111</v>
      </c>
      <c r="D370" s="1" t="s">
        <v>3</v>
      </c>
      <c r="E370" s="1" t="s">
        <v>59</v>
      </c>
      <c r="F370" s="1" t="s">
        <v>155</v>
      </c>
      <c r="G370" s="11" t="s">
        <v>168</v>
      </c>
      <c r="H370" s="1">
        <v>4</v>
      </c>
      <c r="I370" s="1">
        <v>42</v>
      </c>
      <c r="L370" t="s">
        <v>154</v>
      </c>
      <c r="M370" t="str">
        <f>CONCATENATE("(","'",TEXT(A370,"dd.m.rrrrr"),"'",L370,"'",B370,"'",L370,"'",C370,"'",L370,"'",D370,"'",L370,"'",E370,"'",L370,"'",F370,"'",L370,"'",G370,"'",L370,"'",H370,"'",L370,"'",I370,"'",")")</f>
        <v>('28.11.2023', '23', '23 th round', 'SPA', 'Tuesday', 'Away', '1:3', '4', '42')</v>
      </c>
      <c r="W370" t="str">
        <f t="shared" si="5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'17'), ('04.11.2022', '18', '18 th round', 'KLA', 'Friday', 'Away', '2:3pp', '14', '18'), ('06.11.2022', '19', '19 th round', 'KVA', 'Sunday', 'Home', '5:3', '12', '21'), ('18.11.2022', '20', '20 th round', 'HRK', 'Friday', 'Away', '0:3', '13', '21'), ('20.11.2022', '21', '21 th round', 'BRN', 'Sunday', 'Home', '5:1', '11', '24'), ('25.11.2022', '22', '22 th round', 'TRI', 'Friday', 'Home', '1:2pp', '12', '25'), ('27.11.2022', '23', '23 th round', 'MBO', 'Sunday', 'Away', '4:6', '12', '25'), ('29.11.2022', '24', '24 th round', 'PLZ', 'Tuesday', 'Home', '2:4', '12', '25'), ('04.12.2022', '25', '26 th round', 'OLO', 'Sunday', 'Home', '5:3', '12', '28'), ('06.12.2022', '26', '25 th round', 'PAR', 'Tuesday', 'Away', '0:1', '12', '28'), ('09.12.2022', '27', '27 th round', 'VIT', 'Friday', 'Home', '5:3', '12', '31'), ('11.12.2022', '28', '28 th round', 'SPA', 'Sunday', 'Home', '5:2', '12', '34'), ('20.12.2022', '29', '29 th round', 'LIB', 'Tuesday', 'Home', '3:2sn', '11', '36'), ('22.12.2022', '30', '30 th round', 'BUD', 'Thursday', 'Away', '5:2', '11', '39'), ('26.12.2022', '31', '31 th round', 'KLA', 'Monday', 'Home', '2:3', '11', '39'), ('28.12.2022', '32', '32 th round', 'KVA', 'Wednesday', 'Away', '0:3', '11', '39'), ('30.12.2022', '33', '33 th round', 'HRK', 'Friday', 'Home', '2:3pp', '11', '40'), ('03.1.2023', '34', '34 th round', 'BRN', 'Tuesday', 'Away', '1:3', '12', '40'), ('06.1.2023', '35', '35 th round', 'TRI', 'Friday', 'Away', '2:3pp', '11', '41'), ('08.1.2023', '36', '36 th round', 'MBO', 'Sunday', 'Home', '4:3', '10', '44'), ('13.1.2023', '37', '37 th round', 'PLZ', 'Friday', 'Away', '1:4', '11', '44'), ('15.1.2023', '38', '38 th round', 'PAR', 'Sunday', 'Home', '1:2', '11', '44'), ('20.1.2023', '39', '39 th round', 'OLO', 'Friday', 'Away', '8:1', '10', '47'), ('22.1.2023', '40', '40 th round', 'VIT', 'Sunday', 'Away', '3:2sn', '11', '49'), ('25.1.2023', '41', '41 th round', 'SPA', 'Wednesday', 'Away', '2:3', '12', '49'), ('27.1.2023', '42', '42 th round', 'LIB', 'Friday', 'Away', '1:5', '13', '49'), ('29.1.2023', '43', '43 th round', 'BUD', 'Sunday', 'Home', '1:0sn', '12', '51'), ('03.2.2023', '44', '44 th round', 'KLA', 'Friday', 'Away', '2:5', '12', '51'), ('05.2.2023', '45', '45 th round', 'KVA', 'Sunday', 'Home', '1:2pp', '12', '52'), ('15.2.2023', '46', '46 th round', 'HRK', 'Wednesday', 'Away', '0:3', '12', '52'), ('17.2.2023', '47', '47 th round', 'BRN', 'Friday', 'Home', '3:2sn', '12', '54'), ('19.2.2023', '48', '48 th round', 'TRI', 'Sunday', 'Home', '4:3pp', '12', '56'), ('24.2.2023', '49', '49 th round', 'MBO', 'Friday', 'Away', '2:1', '12', '59'), ('26.2.2023', '50', '50 th round', 'PLZ', 'Sunday', 'Home', '2:1', '11', '62'), ('03.3.2023', '51', '51 th round', 'PAR', 'Friday', 'Away', '3:2sn', '12', '64'), ('05.3.2023', '52', '52 th round', 'OLO', 'Sunday', 'Home', '5:1', '11', '67'), ('08.3.2023', '53', 'Playoff 1st round ', 'TRI', 'Wednesday', 'Away', '1:3', '', ''), ('09.3.2023', '54', 'Playoff 1st round ', 'TRI', 'Thursday', 'Away', '4:5pp', '', ''), ('11.3.2023', '55', 'Playoff 1st round ', 'TRI', 'Saturday', 'Home', '2:4', '', ''), ('15.9.2023', '1', '1st round', 'PAR', 'Friday', 'Away', '1:5', '13', '0'), ('17.9.2023', '2', '2nd round', 'PLZ', 'Sunday', 'Home', '4:2', '10', '3'), ('22.9.2023', '3', '3rd round', 'BRN', 'Friday', 'Away', '3:2', '7', '6'), ('24.9.2023', '4', '4 th round', 'LIB', 'Sunday', 'Home', '4:1', '3', '9'), ('27.9.2023', '5', '5 th round', 'HRK', 'Wednesday', 'Away', '3:2sn', '3', '11'), ('29.9.2023', '6', '6 th round', 'MBO', 'Friday', 'Home', '5:2', '3', '14'), ('01.10.2023', '7', '7 th round', 'TRI', 'Sunday', 'Home', '6:4', '2', '17'), ('06.10.2023', '8', '8 th round', 'KVA', 'Friday', 'Away', '4:1', '2', '20'), ('08.10.2023', '9', '9 th round', 'BUD', 'Sunday', 'Home', '4:3', '2', '23'), ('13.10.2023', '10', '10 th round', 'SPA', 'Friday', 'Home', '4:2', '2', '26'), ('15.10.2023', '11', '11 th round', 'KLA', 'Sunday', 'Home', '5:4pp', '2', '28'), ('20.10.2023', '12', '12 th round', 'VIT', 'Friday', 'Home', '6:3', '2', '31'), ('22.10.2023', '13', '13 th round', 'OLO', 'Sunday', 'Away', '1:2', '2', '31'), ('27.10.2023', '14', '14 th round', 'PAR', 'Friday', 'Home', '4:1', '1', '34'), ('29.10.2023', '15', '15 th round', 'PLZ', 'Sunday', 'Away', '2:5', '2', '34'), ('31.10.2023', '16', '16 th round', 'BRN', 'Tuesday', 'Home', '6:3', '2', '37'), ('03.11.2023', '17', '17 th round', 'LIB', 'Friday', 'Away', '2:5', '2', '37'), ('05.11.2023', '18', '18 th round', 'HRK', 'Sunday', 'Home', '0:2', '2', '37'), ('17.11.2023', '19', '19 th round', 'MBO', 'Friday', 'Away', '0:5', '3', '37'), ('19.11.2023', '20', '20 th round', 'TRI', 'Sunday', 'Away', '3:2pp', '3', '39'), ('24.11.2023', '21', '21 th round', 'KVA', 'Friday', 'Home', '6:4', '3', '42'), ('26.11.2023', '22', '22 th round', 'BUD', 'Sunday', 'Away', '0:1', '4', '42'), ('28.11.2023', '23', '23 th round', 'SPA', 'Tuesday', 'Away', '1:3', '4', '42')</v>
      </c>
    </row>
    <row r="371" spans="1:23" x14ac:dyDescent="0.25">
      <c r="A371" s="2">
        <v>45261</v>
      </c>
      <c r="B371" s="1">
        <v>24</v>
      </c>
      <c r="C371" s="1" t="s">
        <v>112</v>
      </c>
      <c r="D371" s="1" t="s">
        <v>28</v>
      </c>
      <c r="E371" s="1" t="s">
        <v>55</v>
      </c>
      <c r="F371" s="1" t="s">
        <v>155</v>
      </c>
      <c r="G371" s="11" t="s">
        <v>163</v>
      </c>
      <c r="H371" s="9">
        <v>4</v>
      </c>
      <c r="I371" s="1">
        <v>42</v>
      </c>
      <c r="L371" t="s">
        <v>154</v>
      </c>
      <c r="M371" t="str">
        <f>CONCATENATE("(","'",TEXT(A371,"dd.m.rrrrr"),"'",L371,"'",B371,"'",L371,"'",C371,"'",L371,"'",D371,"'",L371,"'",E371,"'",L371,"'",F371,"'",L371,"'",G371,"'",L371,"'",H371,"'",L371,"'",I371,"'",")")</f>
        <v>('01.12.2023', '24', '24 th round', 'KLA', 'Friday', 'Away', '0:3', '4', '42')</v>
      </c>
      <c r="W371" t="str">
        <f t="shared" si="5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'17'), ('04.11.2022', '18', '18 th round', 'KLA', 'Friday', 'Away', '2:3pp', '14', '18'), ('06.11.2022', '19', '19 th round', 'KVA', 'Sunday', 'Home', '5:3', '12', '21'), ('18.11.2022', '20', '20 th round', 'HRK', 'Friday', 'Away', '0:3', '13', '21'), ('20.11.2022', '21', '21 th round', 'BRN', 'Sunday', 'Home', '5:1', '11', '24'), ('25.11.2022', '22', '22 th round', 'TRI', 'Friday', 'Home', '1:2pp', '12', '25'), ('27.11.2022', '23', '23 th round', 'MBO', 'Sunday', 'Away', '4:6', '12', '25'), ('29.11.2022', '24', '24 th round', 'PLZ', 'Tuesday', 'Home', '2:4', '12', '25'), ('04.12.2022', '25', '26 th round', 'OLO', 'Sunday', 'Home', '5:3', '12', '28'), ('06.12.2022', '26', '25 th round', 'PAR', 'Tuesday', 'Away', '0:1', '12', '28'), ('09.12.2022', '27', '27 th round', 'VIT', 'Friday', 'Home', '5:3', '12', '31'), ('11.12.2022', '28', '28 th round', 'SPA', 'Sunday', 'Home', '5:2', '12', '34'), ('20.12.2022', '29', '29 th round', 'LIB', 'Tuesday', 'Home', '3:2sn', '11', '36'), ('22.12.2022', '30', '30 th round', 'BUD', 'Thursday', 'Away', '5:2', '11', '39'), ('26.12.2022', '31', '31 th round', 'KLA', 'Monday', 'Home', '2:3', '11', '39'), ('28.12.2022', '32', '32 th round', 'KVA', 'Wednesday', 'Away', '0:3', '11', '39'), ('30.12.2022', '33', '33 th round', 'HRK', 'Friday', 'Home', '2:3pp', '11', '40'), ('03.1.2023', '34', '34 th round', 'BRN', 'Tuesday', 'Away', '1:3', '12', '40'), ('06.1.2023', '35', '35 th round', 'TRI', 'Friday', 'Away', '2:3pp', '11', '41'), ('08.1.2023', '36', '36 th round', 'MBO', 'Sunday', 'Home', '4:3', '10', '44'), ('13.1.2023', '37', '37 th round', 'PLZ', 'Friday', 'Away', '1:4', '11', '44'), ('15.1.2023', '38', '38 th round', 'PAR', 'Sunday', 'Home', '1:2', '11', '44'), ('20.1.2023', '39', '39 th round', 'OLO', 'Friday', 'Away', '8:1', '10', '47'), ('22.1.2023', '40', '40 th round', 'VIT', 'Sunday', 'Away', '3:2sn', '11', '49'), ('25.1.2023', '41', '41 th round', 'SPA', 'Wednesday', 'Away', '2:3', '12', '49'), ('27.1.2023', '42', '42 th round', 'LIB', 'Friday', 'Away', '1:5', '13', '49'), ('29.1.2023', '43', '43 th round', 'BUD', 'Sunday', 'Home', '1:0sn', '12', '51'), ('03.2.2023', '44', '44 th round', 'KLA', 'Friday', 'Away', '2:5', '12', '51'), ('05.2.2023', '45', '45 th round', 'KVA', 'Sunday', 'Home', '1:2pp', '12', '52'), ('15.2.2023', '46', '46 th round', 'HRK', 'Wednesday', 'Away', '0:3', '12', '52'), ('17.2.2023', '47', '47 th round', 'BRN', 'Friday', 'Home', '3:2sn', '12', '54'), ('19.2.2023', '48', '48 th round', 'TRI', 'Sunday', 'Home', '4:3pp', '12', '56'), ('24.2.2023', '49', '49 th round', 'MBO', 'Friday', 'Away', '2:1', '12', '59'), ('26.2.2023', '50', '50 th round', 'PLZ', 'Sunday', 'Home', '2:1', '11', '62'), ('03.3.2023', '51', '51 th round', 'PAR', 'Friday', 'Away', '3:2sn', '12', '64'), ('05.3.2023', '52', '52 th round', 'OLO', 'Sunday', 'Home', '5:1', '11', '67'), ('08.3.2023', '53', 'Playoff 1st round ', 'TRI', 'Wednesday', 'Away', '1:3', '', ''), ('09.3.2023', '54', 'Playoff 1st round ', 'TRI', 'Thursday', 'Away', '4:5pp', '', ''), ('11.3.2023', '55', 'Playoff 1st round ', 'TRI', 'Saturday', 'Home', '2:4', '', ''), ('15.9.2023', '1', '1st round', 'PAR', 'Friday', 'Away', '1:5', '13', '0'), ('17.9.2023', '2', '2nd round', 'PLZ', 'Sunday', 'Home', '4:2', '10', '3'), ('22.9.2023', '3', '3rd round', 'BRN', 'Friday', 'Away', '3:2', '7', '6'), ('24.9.2023', '4', '4 th round', 'LIB', 'Sunday', 'Home', '4:1', '3', '9'), ('27.9.2023', '5', '5 th round', 'HRK', 'Wednesday', 'Away', '3:2sn', '3', '11'), ('29.9.2023', '6', '6 th round', 'MBO', 'Friday', 'Home', '5:2', '3', '14'), ('01.10.2023', '7', '7 th round', 'TRI', 'Sunday', 'Home', '6:4', '2', '17'), ('06.10.2023', '8', '8 th round', 'KVA', 'Friday', 'Away', '4:1', '2', '20'), ('08.10.2023', '9', '9 th round', 'BUD', 'Sunday', 'Home', '4:3', '2', '23'), ('13.10.2023', '10', '10 th round', 'SPA', 'Friday', 'Home', '4:2', '2', '26'), ('15.10.2023', '11', '11 th round', 'KLA', 'Sunday', 'Home', '5:4pp', '2', '28'), ('20.10.2023', '12', '12 th round', 'VIT', 'Friday', 'Home', '6:3', '2', '31'), ('22.10.2023', '13', '13 th round', 'OLO', 'Sunday', 'Away', '1:2', '2', '31'), ('27.10.2023', '14', '14 th round', 'PAR', 'Friday', 'Home', '4:1', '1', '34'), ('29.10.2023', '15', '15 th round', 'PLZ', 'Sunday', 'Away', '2:5', '2', '34'), ('31.10.2023', '16', '16 th round', 'BRN', 'Tuesday', 'Home', '6:3', '2', '37'), ('03.11.2023', '17', '17 th round', 'LIB', 'Friday', 'Away', '2:5', '2', '37'), ('05.11.2023', '18', '18 th round', 'HRK', 'Sunday', 'Home', '0:2', '2', '37'), ('17.11.2023', '19', '19 th round', 'MBO', 'Friday', 'Away', '0:5', '3', '37'), ('19.11.2023', '20', '20 th round', 'TRI', 'Sunday', 'Away', '3:2pp', '3', '39'), ('24.11.2023', '21', '21 th round', 'KVA', 'Friday', 'Home', '6:4', '3', '42'), ('26.11.2023', '22', '22 th round', 'BUD', 'Sunday', 'Away', '0:1', '4', '42'), ('28.11.2023', '23', '23 th round', 'SPA', 'Tuesday', 'Away', '1:3', '4', '42'), ('01.12.2023', '24', '24 th round', 'KLA', 'Friday', 'Away', '0:3', '4', '42')</v>
      </c>
    </row>
    <row r="372" spans="1:23" x14ac:dyDescent="0.25">
      <c r="A372" s="2">
        <v>45263</v>
      </c>
      <c r="B372" s="1">
        <v>25</v>
      </c>
      <c r="C372" s="1" t="s">
        <v>113</v>
      </c>
      <c r="D372" s="1" t="s">
        <v>10</v>
      </c>
      <c r="E372" s="1" t="s">
        <v>57</v>
      </c>
      <c r="F372" s="1" t="s">
        <v>155</v>
      </c>
      <c r="G372" s="11" t="s">
        <v>177</v>
      </c>
      <c r="H372" s="9">
        <v>4</v>
      </c>
      <c r="I372" s="1">
        <v>42</v>
      </c>
      <c r="L372" t="s">
        <v>154</v>
      </c>
      <c r="M372" t="str">
        <f>CONCATENATE("(","'",TEXT(A372,"dd.m.rrrrr"),"'",L372,"'",B372,"'",L372,"'",C372,"'",L372,"'",D372,"'",L372,"'",E372,"'",L372,"'",F372,"'",L372,"'",G372,"'",L372,"'",H372,"'",L372,"'",I372,"'",")")</f>
        <v>('03.12.2023', '25', '25 th round', 'VIT', 'Sunday', 'Away', '2:6', '4', '42')</v>
      </c>
      <c r="W372" t="str">
        <f t="shared" si="5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'17'), ('04.11.2022', '18', '18 th round', 'KLA', 'Friday', 'Away', '2:3pp', '14', '18'), ('06.11.2022', '19', '19 th round', 'KVA', 'Sunday', 'Home', '5:3', '12', '21'), ('18.11.2022', '20', '20 th round', 'HRK', 'Friday', 'Away', '0:3', '13', '21'), ('20.11.2022', '21', '21 th round', 'BRN', 'Sunday', 'Home', '5:1', '11', '24'), ('25.11.2022', '22', '22 th round', 'TRI', 'Friday', 'Home', '1:2pp', '12', '25'), ('27.11.2022', '23', '23 th round', 'MBO', 'Sunday', 'Away', '4:6', '12', '25'), ('29.11.2022', '24', '24 th round', 'PLZ', 'Tuesday', 'Home', '2:4', '12', '25'), ('04.12.2022', '25', '26 th round', 'OLO', 'Sunday', 'Home', '5:3', '12', '28'), ('06.12.2022', '26', '25 th round', 'PAR', 'Tuesday', 'Away', '0:1', '12', '28'), ('09.12.2022', '27', '27 th round', 'VIT', 'Friday', 'Home', '5:3', '12', '31'), ('11.12.2022', '28', '28 th round', 'SPA', 'Sunday', 'Home', '5:2', '12', '34'), ('20.12.2022', '29', '29 th round', 'LIB', 'Tuesday', 'Home', '3:2sn', '11', '36'), ('22.12.2022', '30', '30 th round', 'BUD', 'Thursday', 'Away', '5:2', '11', '39'), ('26.12.2022', '31', '31 th round', 'KLA', 'Monday', 'Home', '2:3', '11', '39'), ('28.12.2022', '32', '32 th round', 'KVA', 'Wednesday', 'Away', '0:3', '11', '39'), ('30.12.2022', '33', '33 th round', 'HRK', 'Friday', 'Home', '2:3pp', '11', '40'), ('03.1.2023', '34', '34 th round', 'BRN', 'Tuesday', 'Away', '1:3', '12', '40'), ('06.1.2023', '35', '35 th round', 'TRI', 'Friday', 'Away', '2:3pp', '11', '41'), ('08.1.2023', '36', '36 th round', 'MBO', 'Sunday', 'Home', '4:3', '10', '44'), ('13.1.2023', '37', '37 th round', 'PLZ', 'Friday', 'Away', '1:4', '11', '44'), ('15.1.2023', '38', '38 th round', 'PAR', 'Sunday', 'Home', '1:2', '11', '44'), ('20.1.2023', '39', '39 th round', 'OLO', 'Friday', 'Away', '8:1', '10', '47'), ('22.1.2023', '40', '40 th round', 'VIT', 'Sunday', 'Away', '3:2sn', '11', '49'), ('25.1.2023', '41', '41 th round', 'SPA', 'Wednesday', 'Away', '2:3', '12', '49'), ('27.1.2023', '42', '42 th round', 'LIB', 'Friday', 'Away', '1:5', '13', '49'), ('29.1.2023', '43', '43 th round', 'BUD', 'Sunday', 'Home', '1:0sn', '12', '51'), ('03.2.2023', '44', '44 th round', 'KLA', 'Friday', 'Away', '2:5', '12', '51'), ('05.2.2023', '45', '45 th round', 'KVA', 'Sunday', 'Home', '1:2pp', '12', '52'), ('15.2.2023', '46', '46 th round', 'HRK', 'Wednesday', 'Away', '0:3', '12', '52'), ('17.2.2023', '47', '47 th round', 'BRN', 'Friday', 'Home', '3:2sn', '12', '54'), ('19.2.2023', '48', '48 th round', 'TRI', 'Sunday', 'Home', '4:3pp', '12', '56'), ('24.2.2023', '49', '49 th round', 'MBO', 'Friday', 'Away', '2:1', '12', '59'), ('26.2.2023', '50', '50 th round', 'PLZ', 'Sunday', 'Home', '2:1', '11', '62'), ('03.3.2023', '51', '51 th round', 'PAR', 'Friday', 'Away', '3:2sn', '12', '64'), ('05.3.2023', '52', '52 th round', 'OLO', 'Sunday', 'Home', '5:1', '11', '67'), ('08.3.2023', '53', 'Playoff 1st round ', 'TRI', 'Wednesday', 'Away', '1:3', '', ''), ('09.3.2023', '54', 'Playoff 1st round ', 'TRI', 'Thursday', 'Away', '4:5pp', '', ''), ('11.3.2023', '55', 'Playoff 1st round ', 'TRI', 'Saturday', 'Home', '2:4', '', ''), ('15.9.2023', '1', '1st round', 'PAR', 'Friday', 'Away', '1:5', '13', '0'), ('17.9.2023', '2', '2nd round', 'PLZ', 'Sunday', 'Home', '4:2', '10', '3'), ('22.9.2023', '3', '3rd round', 'BRN', 'Friday', 'Away', '3:2', '7', '6'), ('24.9.2023', '4', '4 th round', 'LIB', 'Sunday', 'Home', '4:1', '3', '9'), ('27.9.2023', '5', '5 th round', 'HRK', 'Wednesday', 'Away', '3:2sn', '3', '11'), ('29.9.2023', '6', '6 th round', 'MBO', 'Friday', 'Home', '5:2', '3', '14'), ('01.10.2023', '7', '7 th round', 'TRI', 'Sunday', 'Home', '6:4', '2', '17'), ('06.10.2023', '8', '8 th round', 'KVA', 'Friday', 'Away', '4:1', '2', '20'), ('08.10.2023', '9', '9 th round', 'BUD', 'Sunday', 'Home', '4:3', '2', '23'), ('13.10.2023', '10', '10 th round', 'SPA', 'Friday', 'Home', '4:2', '2', '26'), ('15.10.2023', '11', '11 th round', 'KLA', 'Sunday', 'Home', '5:4pp', '2', '28'), ('20.10.2023', '12', '12 th round', 'VIT', 'Friday', 'Home', '6:3', '2', '31'), ('22.10.2023', '13', '13 th round', 'OLO', 'Sunday', 'Away', '1:2', '2', '31'), ('27.10.2023', '14', '14 th round', 'PAR', 'Friday', 'Home', '4:1', '1', '34'), ('29.10.2023', '15', '15 th round', 'PLZ', 'Sunday', 'Away', '2:5', '2', '34'), ('31.10.2023', '16', '16 th round', 'BRN', 'Tuesday', 'Home', '6:3', '2', '37'), ('03.11.2023', '17', '17 th round', 'LIB', 'Friday', 'Away', '2:5', '2', '37'), ('05.11.2023', '18', '18 th round', 'HRK', 'Sunday', 'Home', '0:2', '2', '37'), ('17.11.2023', '19', '19 th round', 'MBO', 'Friday', 'Away', '0:5', '3', '37'), ('19.11.2023', '20', '20 th round', 'TRI', 'Sunday', 'Away', '3:2pp', '3', '39'), ('24.11.2023', '21', '21 th round', 'KVA', 'Friday', 'Home', '6:4', '3', '42'), ('26.11.2023', '22', '22 th round', 'BUD', 'Sunday', 'Away', '0:1', '4', '42'), ('28.11.2023', '23', '23 th round', 'SPA', 'Tuesday', 'Away', '1:3', '4', '42'), ('01.12.2023', '24', '24 th round', 'KLA', 'Friday', 'Away', '0:3', '4', '42'), ('03.12.2023', '25', '25 th round', 'VIT', 'Sunday', 'Away', '2:6', '4', '42')</v>
      </c>
    </row>
    <row r="373" spans="1:23" x14ac:dyDescent="0.25">
      <c r="A373" s="2">
        <v>45268</v>
      </c>
      <c r="B373" s="1">
        <v>26</v>
      </c>
      <c r="C373" s="1" t="s">
        <v>114</v>
      </c>
      <c r="D373" s="1" t="s">
        <v>4</v>
      </c>
      <c r="E373" s="1" t="s">
        <v>55</v>
      </c>
      <c r="F373" s="1" t="s">
        <v>157</v>
      </c>
      <c r="G373" s="3" t="s">
        <v>37</v>
      </c>
      <c r="H373" s="4">
        <v>5</v>
      </c>
      <c r="I373" s="4">
        <v>43</v>
      </c>
      <c r="L373" t="s">
        <v>154</v>
      </c>
      <c r="M373" t="str">
        <f>CONCATENATE("(","'",TEXT(A373,"dd.m.rrrrr"),"'",L373,"'",B373,"'",L373,"'",C373,"'",L373,"'",D373,"'",L373,"'",E373,"'",L373,"'",F373,"'",L373,"'",G373,"'",L373,"'",H373,"'",L373,"'",I373,"'",")")</f>
        <v>('08.12.2023', '26', '26 th round', 'OLO', 'Friday', 'Home', '1:2pp', '5', '43')</v>
      </c>
      <c r="W373" t="str">
        <f t="shared" si="5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'17'), ('04.11.2022', '18', '18 th round', 'KLA', 'Friday', 'Away', '2:3pp', '14', '18'), ('06.11.2022', '19', '19 th round', 'KVA', 'Sunday', 'Home', '5:3', '12', '21'), ('18.11.2022', '20', '20 th round', 'HRK', 'Friday', 'Away', '0:3', '13', '21'), ('20.11.2022', '21', '21 th round', 'BRN', 'Sunday', 'Home', '5:1', '11', '24'), ('25.11.2022', '22', '22 th round', 'TRI', 'Friday', 'Home', '1:2pp', '12', '25'), ('27.11.2022', '23', '23 th round', 'MBO', 'Sunday', 'Away', '4:6', '12', '25'), ('29.11.2022', '24', '24 th round', 'PLZ', 'Tuesday', 'Home', '2:4', '12', '25'), ('04.12.2022', '25', '26 th round', 'OLO', 'Sunday', 'Home', '5:3', '12', '28'), ('06.12.2022', '26', '25 th round', 'PAR', 'Tuesday', 'Away', '0:1', '12', '28'), ('09.12.2022', '27', '27 th round', 'VIT', 'Friday', 'Home', '5:3', '12', '31'), ('11.12.2022', '28', '28 th round', 'SPA', 'Sunday', 'Home', '5:2', '12', '34'), ('20.12.2022', '29', '29 th round', 'LIB', 'Tuesday', 'Home', '3:2sn', '11', '36'), ('22.12.2022', '30', '30 th round', 'BUD', 'Thursday', 'Away', '5:2', '11', '39'), ('26.12.2022', '31', '31 th round', 'KLA', 'Monday', 'Home', '2:3', '11', '39'), ('28.12.2022', '32', '32 th round', 'KVA', 'Wednesday', 'Away', '0:3', '11', '39'), ('30.12.2022', '33', '33 th round', 'HRK', 'Friday', 'Home', '2:3pp', '11', '40'), ('03.1.2023', '34', '34 th round', 'BRN', 'Tuesday', 'Away', '1:3', '12', '40'), ('06.1.2023', '35', '35 th round', 'TRI', 'Friday', 'Away', '2:3pp', '11', '41'), ('08.1.2023', '36', '36 th round', 'MBO', 'Sunday', 'Home', '4:3', '10', '44'), ('13.1.2023', '37', '37 th round', 'PLZ', 'Friday', 'Away', '1:4', '11', '44'), ('15.1.2023', '38', '38 th round', 'PAR', 'Sunday', 'Home', '1:2', '11', '44'), ('20.1.2023', '39', '39 th round', 'OLO', 'Friday', 'Away', '8:1', '10', '47'), ('22.1.2023', '40', '40 th round', 'VIT', 'Sunday', 'Away', '3:2sn', '11', '49'), ('25.1.2023', '41', '41 th round', 'SPA', 'Wednesday', 'Away', '2:3', '12', '49'), ('27.1.2023', '42', '42 th round', 'LIB', 'Friday', 'Away', '1:5', '13', '49'), ('29.1.2023', '43', '43 th round', 'BUD', 'Sunday', 'Home', '1:0sn', '12', '51'), ('03.2.2023', '44', '44 th round', 'KLA', 'Friday', 'Away', '2:5', '12', '51'), ('05.2.2023', '45', '45 th round', 'KVA', 'Sunday', 'Home', '1:2pp', '12', '52'), ('15.2.2023', '46', '46 th round', 'HRK', 'Wednesday', 'Away', '0:3', '12', '52'), ('17.2.2023', '47', '47 th round', 'BRN', 'Friday', 'Home', '3:2sn', '12', '54'), ('19.2.2023', '48', '48 th round', 'TRI', 'Sunday', 'Home', '4:3pp', '12', '56'), ('24.2.2023', '49', '49 th round', 'MBO', 'Friday', 'Away', '2:1', '12', '59'), ('26.2.2023', '50', '50 th round', 'PLZ', 'Sunday', 'Home', '2:1', '11', '62'), ('03.3.2023', '51', '51 th round', 'PAR', 'Friday', 'Away', '3:2sn', '12', '64'), ('05.3.2023', '52', '52 th round', 'OLO', 'Sunday', 'Home', '5:1', '11', '67'), ('08.3.2023', '53', 'Playoff 1st round ', 'TRI', 'Wednesday', 'Away', '1:3', '', ''), ('09.3.2023', '54', 'Playoff 1st round ', 'TRI', 'Thursday', 'Away', '4:5pp', '', ''), ('11.3.2023', '55', 'Playoff 1st round ', 'TRI', 'Saturday', 'Home', '2:4', '', ''), ('15.9.2023', '1', '1st round', 'PAR', 'Friday', 'Away', '1:5', '13', '0'), ('17.9.2023', '2', '2nd round', 'PLZ', 'Sunday', 'Home', '4:2', '10', '3'), ('22.9.2023', '3', '3rd round', 'BRN', 'Friday', 'Away', '3:2', '7', '6'), ('24.9.2023', '4', '4 th round', 'LIB', 'Sunday', 'Home', '4:1', '3', '9'), ('27.9.2023', '5', '5 th round', 'HRK', 'Wednesday', 'Away', '3:2sn', '3', '11'), ('29.9.2023', '6', '6 th round', 'MBO', 'Friday', 'Home', '5:2', '3', '14'), ('01.10.2023', '7', '7 th round', 'TRI', 'Sunday', 'Home', '6:4', '2', '17'), ('06.10.2023', '8', '8 th round', 'KVA', 'Friday', 'Away', '4:1', '2', '20'), ('08.10.2023', '9', '9 th round', 'BUD', 'Sunday', 'Home', '4:3', '2', '23'), ('13.10.2023', '10', '10 th round', 'SPA', 'Friday', 'Home', '4:2', '2', '26'), ('15.10.2023', '11', '11 th round', 'KLA', 'Sunday', 'Home', '5:4pp', '2', '28'), ('20.10.2023', '12', '12 th round', 'VIT', 'Friday', 'Home', '6:3', '2', '31'), ('22.10.2023', '13', '13 th round', 'OLO', 'Sunday', 'Away', '1:2', '2', '31'), ('27.10.2023', '14', '14 th round', 'PAR', 'Friday', 'Home', '4:1', '1', '34'), ('29.10.2023', '15', '15 th round', 'PLZ', 'Sunday', 'Away', '2:5', '2', '34'), ('31.10.2023', '16', '16 th round', 'BRN', 'Tuesday', 'Home', '6:3', '2', '37'), ('03.11.2023', '17', '17 th round', 'LIB', 'Friday', 'Away', '2:5', '2', '37'), ('05.11.2023', '18', '18 th round', 'HRK', 'Sunday', 'Home', '0:2', '2', '37'), ('17.11.2023', '19', '19 th round', 'MBO', 'Friday', 'Away', '0:5', '3', '37'), ('19.11.2023', '20', '20 th round', 'TRI', 'Sunday', 'Away', '3:2pp', '3', '39'), ('24.11.2023', '21', '21 th round', 'KVA', 'Friday', 'Home', '6:4', '3', '42'), ('26.11.2023', '22', '22 th round', 'BUD', 'Sunday', 'Away', '0:1', '4', '42'), ('28.11.2023', '23', '23 th round', 'SPA', 'Tuesday', 'Away', '1:3', '4', '42'), ('01.12.2023', '24', '24 th round', 'KLA', 'Friday', 'Away', '0:3', '4', '42'), ('03.12.2023', '25', '25 th round', 'VIT', 'Sunday', 'Away', '2:6', '4', '42'), ('08.12.2023', '26', '26 th round', 'OLO', 'Friday', 'Home', '1:2pp', '5', '43')</v>
      </c>
    </row>
    <row r="374" spans="1:23" x14ac:dyDescent="0.25">
      <c r="A374" s="2">
        <v>45270</v>
      </c>
      <c r="B374" s="1">
        <v>27</v>
      </c>
      <c r="C374" s="1" t="s">
        <v>115</v>
      </c>
      <c r="D374" s="1" t="s">
        <v>9</v>
      </c>
      <c r="E374" s="1" t="s">
        <v>57</v>
      </c>
      <c r="F374" s="1" t="s">
        <v>155</v>
      </c>
      <c r="G374" s="11" t="s">
        <v>188</v>
      </c>
      <c r="H374" s="1">
        <v>5</v>
      </c>
      <c r="I374" s="1">
        <v>46</v>
      </c>
      <c r="L374" t="s">
        <v>154</v>
      </c>
      <c r="M374" t="str">
        <f>CONCATENATE("(","'",TEXT(A374,"dd.m.rrrrr"),"'",L374,"'",B374,"'",L374,"'",C374,"'",L374,"'",D374,"'",L374,"'",E374,"'",L374,"'",F374,"'",L374,"'",G374,"'",L374,"'",H374,"'",L374,"'",I374,"'",")")</f>
        <v>('10.12.2023', '27', '27 th round', 'PAR', 'Sunday', 'Away', '4:2', '5', '46')</v>
      </c>
      <c r="W374" t="str">
        <f t="shared" si="5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'17'), ('04.11.2022', '18', '18 th round', 'KLA', 'Friday', 'Away', '2:3pp', '14', '18'), ('06.11.2022', '19', '19 th round', 'KVA', 'Sunday', 'Home', '5:3', '12', '21'), ('18.11.2022', '20', '20 th round', 'HRK', 'Friday', 'Away', '0:3', '13', '21'), ('20.11.2022', '21', '21 th round', 'BRN', 'Sunday', 'Home', '5:1', '11', '24'), ('25.11.2022', '22', '22 th round', 'TRI', 'Friday', 'Home', '1:2pp', '12', '25'), ('27.11.2022', '23', '23 th round', 'MBO', 'Sunday', 'Away', '4:6', '12', '25'), ('29.11.2022', '24', '24 th round', 'PLZ', 'Tuesday', 'Home', '2:4', '12', '25'), ('04.12.2022', '25', '26 th round', 'OLO', 'Sunday', 'Home', '5:3', '12', '28'), ('06.12.2022', '26', '25 th round', 'PAR', 'Tuesday', 'Away', '0:1', '12', '28'), ('09.12.2022', '27', '27 th round', 'VIT', 'Friday', 'Home', '5:3', '12', '31'), ('11.12.2022', '28', '28 th round', 'SPA', 'Sunday', 'Home', '5:2', '12', '34'), ('20.12.2022', '29', '29 th round', 'LIB', 'Tuesday', 'Home', '3:2sn', '11', '36'), ('22.12.2022', '30', '30 th round', 'BUD', 'Thursday', 'Away', '5:2', '11', '39'), ('26.12.2022', '31', '31 th round', 'KLA', 'Monday', 'Home', '2:3', '11', '39'), ('28.12.2022', '32', '32 th round', 'KVA', 'Wednesday', 'Away', '0:3', '11', '39'), ('30.12.2022', '33', '33 th round', 'HRK', 'Friday', 'Home', '2:3pp', '11', '40'), ('03.1.2023', '34', '34 th round', 'BRN', 'Tuesday', 'Away', '1:3', '12', '40'), ('06.1.2023', '35', '35 th round', 'TRI', 'Friday', 'Away', '2:3pp', '11', '41'), ('08.1.2023', '36', '36 th round', 'MBO', 'Sunday', 'Home', '4:3', '10', '44'), ('13.1.2023', '37', '37 th round', 'PLZ', 'Friday', 'Away', '1:4', '11', '44'), ('15.1.2023', '38', '38 th round', 'PAR', 'Sunday', 'Home', '1:2', '11', '44'), ('20.1.2023', '39', '39 th round', 'OLO', 'Friday', 'Away', '8:1', '10', '47'), ('22.1.2023', '40', '40 th round', 'VIT', 'Sunday', 'Away', '3:2sn', '11', '49'), ('25.1.2023', '41', '41 th round', 'SPA', 'Wednesday', 'Away', '2:3', '12', '49'), ('27.1.2023', '42', '42 th round', 'LIB', 'Friday', 'Away', '1:5', '13', '49'), ('29.1.2023', '43', '43 th round', 'BUD', 'Sunday', 'Home', '1:0sn', '12', '51'), ('03.2.2023', '44', '44 th round', 'KLA', 'Friday', 'Away', '2:5', '12', '51'), ('05.2.2023', '45', '45 th round', 'KVA', 'Sunday', 'Home', '1:2pp', '12', '52'), ('15.2.2023', '46', '46 th round', 'HRK', 'Wednesday', 'Away', '0:3', '12', '52'), ('17.2.2023', '47', '47 th round', 'BRN', 'Friday', 'Home', '3:2sn', '12', '54'), ('19.2.2023', '48', '48 th round', 'TRI', 'Sunday', 'Home', '4:3pp', '12', '56'), ('24.2.2023', '49', '49 th round', 'MBO', 'Friday', 'Away', '2:1', '12', '59'), ('26.2.2023', '50', '50 th round', 'PLZ', 'Sunday', 'Home', '2:1', '11', '62'), ('03.3.2023', '51', '51 th round', 'PAR', 'Friday', 'Away', '3:2sn', '12', '64'), ('05.3.2023', '52', '52 th round', 'OLO', 'Sunday', 'Home', '5:1', '11', '67'), ('08.3.2023', '53', 'Playoff 1st round ', 'TRI', 'Wednesday', 'Away', '1:3', '', ''), ('09.3.2023', '54', 'Playoff 1st round ', 'TRI', 'Thursday', 'Away', '4:5pp', '', ''), ('11.3.2023', '55', 'Playoff 1st round ', 'TRI', 'Saturday', 'Home', '2:4', '', ''), ('15.9.2023', '1', '1st round', 'PAR', 'Friday', 'Away', '1:5', '13', '0'), ('17.9.2023', '2', '2nd round', 'PLZ', 'Sunday', 'Home', '4:2', '10', '3'), ('22.9.2023', '3', '3rd round', 'BRN', 'Friday', 'Away', '3:2', '7', '6'), ('24.9.2023', '4', '4 th round', 'LIB', 'Sunday', 'Home', '4:1', '3', '9'), ('27.9.2023', '5', '5 th round', 'HRK', 'Wednesday', 'Away', '3:2sn', '3', '11'), ('29.9.2023', '6', '6 th round', 'MBO', 'Friday', 'Home', '5:2', '3', '14'), ('01.10.2023', '7', '7 th round', 'TRI', 'Sunday', 'Home', '6:4', '2', '17'), ('06.10.2023', '8', '8 th round', 'KVA', 'Friday', 'Away', '4:1', '2', '20'), ('08.10.2023', '9', '9 th round', 'BUD', 'Sunday', 'Home', '4:3', '2', '23'), ('13.10.2023', '10', '10 th round', 'SPA', 'Friday', 'Home', '4:2', '2', '26'), ('15.10.2023', '11', '11 th round', 'KLA', 'Sunday', 'Home', '5:4pp', '2', '28'), ('20.10.2023', '12', '12 th round', 'VIT', 'Friday', 'Home', '6:3', '2', '31'), ('22.10.2023', '13', '13 th round', 'OLO', 'Sunday', 'Away', '1:2', '2', '31'), ('27.10.2023', '14', '14 th round', 'PAR', 'Friday', 'Home', '4:1', '1', '34'), ('29.10.2023', '15', '15 th round', 'PLZ', 'Sunday', 'Away', '2:5', '2', '34'), ('31.10.2023', '16', '16 th round', 'BRN', 'Tuesday', 'Home', '6:3', '2', '37'), ('03.11.2023', '17', '17 th round', 'LIB', 'Friday', 'Away', '2:5', '2', '37'), ('05.11.2023', '18', '18 th round', 'HRK', 'Sunday', 'Home', '0:2', '2', '37'), ('17.11.2023', '19', '19 th round', 'MBO', 'Friday', 'Away', '0:5', '3', '37'), ('19.11.2023', '20', '20 th round', 'TRI', 'Sunday', 'Away', '3:2pp', '3', '39'), ('24.11.2023', '21', '21 th round', 'KVA', 'Friday', 'Home', '6:4', '3', '42'), ('26.11.2023', '22', '22 th round', 'BUD', 'Sunday', 'Away', '0:1', '4', '42'), ('28.11.2023', '23', '23 th round', 'SPA', 'Tuesday', 'Away', '1:3', '4', '42'), ('01.12.2023', '24', '24 th round', 'KLA', 'Friday', 'Away', '0:3', '4', '42'), ('03.12.2023', '25', '25 th round', 'VIT', 'Sunday', 'Away', '2:6', '4', '42'), ('08.12.2023', '26', '26 th round', 'OLO', 'Friday', 'Home', '1:2pp', '5', '43'), ('10.12.2023', '27', '27 th round', 'PAR', 'Sunday', 'Away', '4:2', '5', '46')</v>
      </c>
    </row>
    <row r="375" spans="1:23" x14ac:dyDescent="0.25">
      <c r="A375" s="2">
        <v>45280</v>
      </c>
      <c r="B375" s="1">
        <v>28</v>
      </c>
      <c r="C375" s="1" t="s">
        <v>116</v>
      </c>
      <c r="D375" s="1" t="s">
        <v>0</v>
      </c>
      <c r="E375" s="1" t="s">
        <v>60</v>
      </c>
      <c r="F375" s="1" t="s">
        <v>157</v>
      </c>
      <c r="G375" s="3" t="s">
        <v>16</v>
      </c>
      <c r="H375" s="1">
        <v>5</v>
      </c>
      <c r="I375" s="1">
        <v>47</v>
      </c>
      <c r="L375" t="s">
        <v>154</v>
      </c>
      <c r="M375" t="str">
        <f>CONCATENATE("(","'",TEXT(A375,"dd.m.rrrrr"),"'",L375,"'",B375,"'",L375,"'",C375,"'",L375,"'",D375,"'",L375,"'",E375,"'",L375,"'",F375,"'",L375,"'",G375,"'",L375,"'",H375,"'",L375,"'",I375,"'",")")</f>
        <v>('20.12.2023', '28', '28 th round', 'PLZ', 'Wednesday', 'Home', '2:3sn', '5', '47')</v>
      </c>
      <c r="W375" t="str">
        <f t="shared" si="5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'17'), ('04.11.2022', '18', '18 th round', 'KLA', 'Friday', 'Away', '2:3pp', '14', '18'), ('06.11.2022', '19', '19 th round', 'KVA', 'Sunday', 'Home', '5:3', '12', '21'), ('18.11.2022', '20', '20 th round', 'HRK', 'Friday', 'Away', '0:3', '13', '21'), ('20.11.2022', '21', '21 th round', 'BRN', 'Sunday', 'Home', '5:1', '11', '24'), ('25.11.2022', '22', '22 th round', 'TRI', 'Friday', 'Home', '1:2pp', '12', '25'), ('27.11.2022', '23', '23 th round', 'MBO', 'Sunday', 'Away', '4:6', '12', '25'), ('29.11.2022', '24', '24 th round', 'PLZ', 'Tuesday', 'Home', '2:4', '12', '25'), ('04.12.2022', '25', '26 th round', 'OLO', 'Sunday', 'Home', '5:3', '12', '28'), ('06.12.2022', '26', '25 th round', 'PAR', 'Tuesday', 'Away', '0:1', '12', '28'), ('09.12.2022', '27', '27 th round', 'VIT', 'Friday', 'Home', '5:3', '12', '31'), ('11.12.2022', '28', '28 th round', 'SPA', 'Sunday', 'Home', '5:2', '12', '34'), ('20.12.2022', '29', '29 th round', 'LIB', 'Tuesday', 'Home', '3:2sn', '11', '36'), ('22.12.2022', '30', '30 th round', 'BUD', 'Thursday', 'Away', '5:2', '11', '39'), ('26.12.2022', '31', '31 th round', 'KLA', 'Monday', 'Home', '2:3', '11', '39'), ('28.12.2022', '32', '32 th round', 'KVA', 'Wednesday', 'Away', '0:3', '11', '39'), ('30.12.2022', '33', '33 th round', 'HRK', 'Friday', 'Home', '2:3pp', '11', '40'), ('03.1.2023', '34', '34 th round', 'BRN', 'Tuesday', 'Away', '1:3', '12', '40'), ('06.1.2023', '35', '35 th round', 'TRI', 'Friday', 'Away', '2:3pp', '11', '41'), ('08.1.2023', '36', '36 th round', 'MBO', 'Sunday', 'Home', '4:3', '10', '44'), ('13.1.2023', '37', '37 th round', 'PLZ', 'Friday', 'Away', '1:4', '11', '44'), ('15.1.2023', '38', '38 th round', 'PAR', 'Sunday', 'Home', '1:2', '11', '44'), ('20.1.2023', '39', '39 th round', 'OLO', 'Friday', 'Away', '8:1', '10', '47'), ('22.1.2023', '40', '40 th round', 'VIT', 'Sunday', 'Away', '3:2sn', '11', '49'), ('25.1.2023', '41', '41 th round', 'SPA', 'Wednesday', 'Away', '2:3', '12', '49'), ('27.1.2023', '42', '42 th round', 'LIB', 'Friday', 'Away', '1:5', '13', '49'), ('29.1.2023', '43', '43 th round', 'BUD', 'Sunday', 'Home', '1:0sn', '12', '51'), ('03.2.2023', '44', '44 th round', 'KLA', 'Friday', 'Away', '2:5', '12', '51'), ('05.2.2023', '45', '45 th round', 'KVA', 'Sunday', 'Home', '1:2pp', '12', '52'), ('15.2.2023', '46', '46 th round', 'HRK', 'Wednesday', 'Away', '0:3', '12', '52'), ('17.2.2023', '47', '47 th round', 'BRN', 'Friday', 'Home', '3:2sn', '12', '54'), ('19.2.2023', '48', '48 th round', 'TRI', 'Sunday', 'Home', '4:3pp', '12', '56'), ('24.2.2023', '49', '49 th round', 'MBO', 'Friday', 'Away', '2:1', '12', '59'), ('26.2.2023', '50', '50 th round', 'PLZ', 'Sunday', 'Home', '2:1', '11', '62'), ('03.3.2023', '51', '51 th round', 'PAR', 'Friday', 'Away', '3:2sn', '12', '64'), ('05.3.2023', '52', '52 th round', 'OLO', 'Sunday', 'Home', '5:1', '11', '67'), ('08.3.2023', '53', 'Playoff 1st round ', 'TRI', 'Wednesday', 'Away', '1:3', '', ''), ('09.3.2023', '54', 'Playoff 1st round ', 'TRI', 'Thursday', 'Away', '4:5pp', '', ''), ('11.3.2023', '55', 'Playoff 1st round ', 'TRI', 'Saturday', 'Home', '2:4', '', ''), ('15.9.2023', '1', '1st round', 'PAR', 'Friday', 'Away', '1:5', '13', '0'), ('17.9.2023', '2', '2nd round', 'PLZ', 'Sunday', 'Home', '4:2', '10', '3'), ('22.9.2023', '3', '3rd round', 'BRN', 'Friday', 'Away', '3:2', '7', '6'), ('24.9.2023', '4', '4 th round', 'LIB', 'Sunday', 'Home', '4:1', '3', '9'), ('27.9.2023', '5', '5 th round', 'HRK', 'Wednesday', 'Away', '3:2sn', '3', '11'), ('29.9.2023', '6', '6 th round', 'MBO', 'Friday', 'Home', '5:2', '3', '14'), ('01.10.2023', '7', '7 th round', 'TRI', 'Sunday', 'Home', '6:4', '2', '17'), ('06.10.2023', '8', '8 th round', 'KVA', 'Friday', 'Away', '4:1', '2', '20'), ('08.10.2023', '9', '9 th round', 'BUD', 'Sunday', 'Home', '4:3', '2', '23'), ('13.10.2023', '10', '10 th round', 'SPA', 'Friday', 'Home', '4:2', '2', '26'), ('15.10.2023', '11', '11 th round', 'KLA', 'Sunday', 'Home', '5:4pp', '2', '28'), ('20.10.2023', '12', '12 th round', 'VIT', 'Friday', 'Home', '6:3', '2', '31'), ('22.10.2023', '13', '13 th round', 'OLO', 'Sunday', 'Away', '1:2', '2', '31'), ('27.10.2023', '14', '14 th round', 'PAR', 'Friday', 'Home', '4:1', '1', '34'), ('29.10.2023', '15', '15 th round', 'PLZ', 'Sunday', 'Away', '2:5', '2', '34'), ('31.10.2023', '16', '16 th round', 'BRN', 'Tuesday', 'Home', '6:3', '2', '37'), ('03.11.2023', '17', '17 th round', 'LIB', 'Friday', 'Away', '2:5', '2', '37'), ('05.11.2023', '18', '18 th round', 'HRK', 'Sunday', 'Home', '0:2', '2', '37'), ('17.11.2023', '19', '19 th round', 'MBO', 'Friday', 'Away', '0:5', '3', '37'), ('19.11.2023', '20', '20 th round', 'TRI', 'Sunday', 'Away', '3:2pp', '3', '39'), ('24.11.2023', '21', '21 th round', 'KVA', 'Friday', 'Home', '6:4', '3', '42'), ('26.11.2023', '22', '22 th round', 'BUD', 'Sunday', 'Away', '0:1', '4', '42'), ('28.11.2023', '23', '23 th round', 'SPA', 'Tuesday', 'Away', '1:3', '4', '42'), ('01.12.2023', '24', '24 th round', 'KLA', 'Friday', 'Away', '0:3', '4', '42'), ('03.12.2023', '25', '25 th round', 'VIT', 'Sunday', 'Away', '2:6', '4', '42'), ('08.12.2023', '26', '26 th round', 'OLO', 'Friday', 'Home', '1:2pp', '5', '43'), ('10.12.2023', '27', '27 th round', 'PAR', 'Sunday', 'Away', '4:2', '5', '46'), ('20.12.2023', '28', '28 th round', 'PLZ', 'Wednesday', 'Home', '2:3sn', '5', '47')</v>
      </c>
    </row>
    <row r="376" spans="1:23" x14ac:dyDescent="0.25">
      <c r="A376" s="2">
        <v>45286</v>
      </c>
      <c r="B376" s="1">
        <v>29</v>
      </c>
      <c r="C376" s="1" t="s">
        <v>118</v>
      </c>
      <c r="D376" s="1" t="s">
        <v>1</v>
      </c>
      <c r="E376" s="1" t="s">
        <v>59</v>
      </c>
      <c r="F376" s="1" t="s">
        <v>157</v>
      </c>
      <c r="G376" s="11" t="s">
        <v>202</v>
      </c>
      <c r="H376" s="1">
        <v>4</v>
      </c>
      <c r="I376" s="1">
        <v>50</v>
      </c>
      <c r="L376" t="s">
        <v>154</v>
      </c>
      <c r="M376" t="str">
        <f>CONCATENATE("(","'",TEXT(A376,"dd.m.rrrrr"),"'",L376,"'",B376,"'",L376,"'",C376,"'",L376,"'",D376,"'",L376,"'",E376,"'",L376,"'",F376,"'",L376,"'",G376,"'",L376,"'",H376,"'",L376,"'",I376,"'",")")</f>
        <v>('26.12.2023', '29', '30 th round', 'LIB', 'Tuesday', 'Home', '6:3', '4', '50')</v>
      </c>
      <c r="W376" t="str">
        <f t="shared" si="5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'17'), ('04.11.2022', '18', '18 th round', 'KLA', 'Friday', 'Away', '2:3pp', '14', '18'), ('06.11.2022', '19', '19 th round', 'KVA', 'Sunday', 'Home', '5:3', '12', '21'), ('18.11.2022', '20', '20 th round', 'HRK', 'Friday', 'Away', '0:3', '13', '21'), ('20.11.2022', '21', '21 th round', 'BRN', 'Sunday', 'Home', '5:1', '11', '24'), ('25.11.2022', '22', '22 th round', 'TRI', 'Friday', 'Home', '1:2pp', '12', '25'), ('27.11.2022', '23', '23 th round', 'MBO', 'Sunday', 'Away', '4:6', '12', '25'), ('29.11.2022', '24', '24 th round', 'PLZ', 'Tuesday', 'Home', '2:4', '12', '25'), ('04.12.2022', '25', '26 th round', 'OLO', 'Sunday', 'Home', '5:3', '12', '28'), ('06.12.2022', '26', '25 th round', 'PAR', 'Tuesday', 'Away', '0:1', '12', '28'), ('09.12.2022', '27', '27 th round', 'VIT', 'Friday', 'Home', '5:3', '12', '31'), ('11.12.2022', '28', '28 th round', 'SPA', 'Sunday', 'Home', '5:2', '12', '34'), ('20.12.2022', '29', '29 th round', 'LIB', 'Tuesday', 'Home', '3:2sn', '11', '36'), ('22.12.2022', '30', '30 th round', 'BUD', 'Thursday', 'Away', '5:2', '11', '39'), ('26.12.2022', '31', '31 th round', 'KLA', 'Monday', 'Home', '2:3', '11', '39'), ('28.12.2022', '32', '32 th round', 'KVA', 'Wednesday', 'Away', '0:3', '11', '39'), ('30.12.2022', '33', '33 th round', 'HRK', 'Friday', 'Home', '2:3pp', '11', '40'), ('03.1.2023', '34', '34 th round', 'BRN', 'Tuesday', 'Away', '1:3', '12', '40'), ('06.1.2023', '35', '35 th round', 'TRI', 'Friday', 'Away', '2:3pp', '11', '41'), ('08.1.2023', '36', '36 th round', 'MBO', 'Sunday', 'Home', '4:3', '10', '44'), ('13.1.2023', '37', '37 th round', 'PLZ', 'Friday', 'Away', '1:4', '11', '44'), ('15.1.2023', '38', '38 th round', 'PAR', 'Sunday', 'Home', '1:2', '11', '44'), ('20.1.2023', '39', '39 th round', 'OLO', 'Friday', 'Away', '8:1', '10', '47'), ('22.1.2023', '40', '40 th round', 'VIT', 'Sunday', 'Away', '3:2sn', '11', '49'), ('25.1.2023', '41', '41 th round', 'SPA', 'Wednesday', 'Away', '2:3', '12', '49'), ('27.1.2023', '42', '42 th round', 'LIB', 'Friday', 'Away', '1:5', '13', '49'), ('29.1.2023', '43', '43 th round', 'BUD', 'Sunday', 'Home', '1:0sn', '12', '51'), ('03.2.2023', '44', '44 th round', 'KLA', 'Friday', 'Away', '2:5', '12', '51'), ('05.2.2023', '45', '45 th round', 'KVA', 'Sunday', 'Home', '1:2pp', '12', '52'), ('15.2.2023', '46', '46 th round', 'HRK', 'Wednesday', 'Away', '0:3', '12', '52'), ('17.2.2023', '47', '47 th round', 'BRN', 'Friday', 'Home', '3:2sn', '12', '54'), ('19.2.2023', '48', '48 th round', 'TRI', 'Sunday', 'Home', '4:3pp', '12', '56'), ('24.2.2023', '49', '49 th round', 'MBO', 'Friday', 'Away', '2:1', '12', '59'), ('26.2.2023', '50', '50 th round', 'PLZ', 'Sunday', 'Home', '2:1', '11', '62'), ('03.3.2023', '51', '51 th round', 'PAR', 'Friday', 'Away', '3:2sn', '12', '64'), ('05.3.2023', '52', '52 th round', 'OLO', 'Sunday', 'Home', '5:1', '11', '67'), ('08.3.2023', '53', 'Playoff 1st round ', 'TRI', 'Wednesday', 'Away', '1:3', '', ''), ('09.3.2023', '54', 'Playoff 1st round ', 'TRI', 'Thursday', 'Away', '4:5pp', '', ''), ('11.3.2023', '55', 'Playoff 1st round ', 'TRI', 'Saturday', 'Home', '2:4', '', ''), ('15.9.2023', '1', '1st round', 'PAR', 'Friday', 'Away', '1:5', '13', '0'), ('17.9.2023', '2', '2nd round', 'PLZ', 'Sunday', 'Home', '4:2', '10', '3'), ('22.9.2023', '3', '3rd round', 'BRN', 'Friday', 'Away', '3:2', '7', '6'), ('24.9.2023', '4', '4 th round', 'LIB', 'Sunday', 'Home', '4:1', '3', '9'), ('27.9.2023', '5', '5 th round', 'HRK', 'Wednesday', 'Away', '3:2sn', '3', '11'), ('29.9.2023', '6', '6 th round', 'MBO', 'Friday', 'Home', '5:2', '3', '14'), ('01.10.2023', '7', '7 th round', 'TRI', 'Sunday', 'Home', '6:4', '2', '17'), ('06.10.2023', '8', '8 th round', 'KVA', 'Friday', 'Away', '4:1', '2', '20'), ('08.10.2023', '9', '9 th round', 'BUD', 'Sunday', 'Home', '4:3', '2', '23'), ('13.10.2023', '10', '10 th round', 'SPA', 'Friday', 'Home', '4:2', '2', '26'), ('15.10.2023', '11', '11 th round', 'KLA', 'Sunday', 'Home', '5:4pp', '2', '28'), ('20.10.2023', '12', '12 th round', 'VIT', 'Friday', 'Home', '6:3', '2', '31'), ('22.10.2023', '13', '13 th round', 'OLO', 'Sunday', 'Away', '1:2', '2', '31'), ('27.10.2023', '14', '14 th round', 'PAR', 'Friday', 'Home', '4:1', '1', '34'), ('29.10.2023', '15', '15 th round', 'PLZ', 'Sunday', 'Away', '2:5', '2', '34'), ('31.10.2023', '16', '16 th round', 'BRN', 'Tuesday', 'Home', '6:3', '2', '37'), ('03.11.2023', '17', '17 th round', 'LIB', 'Friday', 'Away', '2:5', '2', '37'), ('05.11.2023', '18', '18 th round', 'HRK', 'Sunday', 'Home', '0:2', '2', '37'), ('17.11.2023', '19', '19 th round', 'MBO', 'Friday', 'Away', '0:5', '3', '37'), ('19.11.2023', '20', '20 th round', 'TRI', 'Sunday', 'Away', '3:2pp', '3', '39'), ('24.11.2023', '21', '21 th round', 'KVA', 'Friday', 'Home', '6:4', '3', '42'), ('26.11.2023', '22', '22 th round', 'BUD', 'Sunday', 'Away', '0:1', '4', '42'), ('28.11.2023', '23', '23 th round', 'SPA', 'Tuesday', 'Away', '1:3', '4', '42'), ('01.12.2023', '24', '24 th round', 'KLA', 'Friday', 'Away', '0:3', '4', '42'), ('03.12.2023', '25', '25 th round', 'VIT', 'Sunday', 'Away', '2:6', '4', '42'), ('08.12.2023', '26', '26 th round', 'OLO', 'Friday', 'Home', '1:2pp', '5', '43'), ('10.12.2023', '27', '27 th round', 'PAR', 'Sunday', 'Away', '4:2', '5', '46'), ('20.12.2023', '28', '28 th round', 'PLZ', 'Wednesday', 'Home', '2:3sn', '5', '47'), ('26.12.2023', '29', '30 th round', 'LIB', 'Tuesday', 'Home', '6:3', '4', '50')</v>
      </c>
    </row>
    <row r="377" spans="1:23" x14ac:dyDescent="0.25">
      <c r="A377" s="2">
        <v>45288</v>
      </c>
      <c r="B377" s="1">
        <v>30</v>
      </c>
      <c r="C377" s="1" t="s">
        <v>119</v>
      </c>
      <c r="D377" s="1" t="s">
        <v>2</v>
      </c>
      <c r="E377" s="1" t="s">
        <v>61</v>
      </c>
      <c r="F377" s="1" t="s">
        <v>155</v>
      </c>
      <c r="G377" s="11" t="s">
        <v>195</v>
      </c>
      <c r="H377" s="1">
        <v>4</v>
      </c>
      <c r="I377" s="1">
        <v>53</v>
      </c>
      <c r="L377" t="s">
        <v>154</v>
      </c>
      <c r="M377" t="str">
        <f>CONCATENATE("(","'",TEXT(A377,"dd.m.rrrrr"),"'",L377,"'",B377,"'",L377,"'",C377,"'",L377,"'",D377,"'",L377,"'",E377,"'",L377,"'",F377,"'",L377,"'",G377,"'",L377,"'",H377,"'",L377,"'",I377,"'",")")</f>
        <v>('28.12.2023', '30', '31 th round', 'HRK', 'Thursday', 'Away', '5:1', '4', '53')</v>
      </c>
      <c r="W377" t="str">
        <f t="shared" si="5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'17'), ('04.11.2022', '18', '18 th round', 'KLA', 'Friday', 'Away', '2:3pp', '14', '18'), ('06.11.2022', '19', '19 th round', 'KVA', 'Sunday', 'Home', '5:3', '12', '21'), ('18.11.2022', '20', '20 th round', 'HRK', 'Friday', 'Away', '0:3', '13', '21'), ('20.11.2022', '21', '21 th round', 'BRN', 'Sunday', 'Home', '5:1', '11', '24'), ('25.11.2022', '22', '22 th round', 'TRI', 'Friday', 'Home', '1:2pp', '12', '25'), ('27.11.2022', '23', '23 th round', 'MBO', 'Sunday', 'Away', '4:6', '12', '25'), ('29.11.2022', '24', '24 th round', 'PLZ', 'Tuesday', 'Home', '2:4', '12', '25'), ('04.12.2022', '25', '26 th round', 'OLO', 'Sunday', 'Home', '5:3', '12', '28'), ('06.12.2022', '26', '25 th round', 'PAR', 'Tuesday', 'Away', '0:1', '12', '28'), ('09.12.2022', '27', '27 th round', 'VIT', 'Friday', 'Home', '5:3', '12', '31'), ('11.12.2022', '28', '28 th round', 'SPA', 'Sunday', 'Home', '5:2', '12', '34'), ('20.12.2022', '29', '29 th round', 'LIB', 'Tuesday', 'Home', '3:2sn', '11', '36'), ('22.12.2022', '30', '30 th round', 'BUD', 'Thursday', 'Away', '5:2', '11', '39'), ('26.12.2022', '31', '31 th round', 'KLA', 'Monday', 'Home', '2:3', '11', '39'), ('28.12.2022', '32', '32 th round', 'KVA', 'Wednesday', 'Away', '0:3', '11', '39'), ('30.12.2022', '33', '33 th round', 'HRK', 'Friday', 'Home', '2:3pp', '11', '40'), ('03.1.2023', '34', '34 th round', 'BRN', 'Tuesday', 'Away', '1:3', '12', '40'), ('06.1.2023', '35', '35 th round', 'TRI', 'Friday', 'Away', '2:3pp', '11', '41'), ('08.1.2023', '36', '36 th round', 'MBO', 'Sunday', 'Home', '4:3', '10', '44'), ('13.1.2023', '37', '37 th round', 'PLZ', 'Friday', 'Away', '1:4', '11', '44'), ('15.1.2023', '38', '38 th round', 'PAR', 'Sunday', 'Home', '1:2', '11', '44'), ('20.1.2023', '39', '39 th round', 'OLO', 'Friday', 'Away', '8:1', '10', '47'), ('22.1.2023', '40', '40 th round', 'VIT', 'Sunday', 'Away', '3:2sn', '11', '49'), ('25.1.2023', '41', '41 th round', 'SPA', 'Wednesday', 'Away', '2:3', '12', '49'), ('27.1.2023', '42', '42 th round', 'LIB', 'Friday', 'Away', '1:5', '13', '49'), ('29.1.2023', '43', '43 th round', 'BUD', 'Sunday', 'Home', '1:0sn', '12', '51'), ('03.2.2023', '44', '44 th round', 'KLA', 'Friday', 'Away', '2:5', '12', '51'), ('05.2.2023', '45', '45 th round', 'KVA', 'Sunday', 'Home', '1:2pp', '12', '52'), ('15.2.2023', '46', '46 th round', 'HRK', 'Wednesday', 'Away', '0:3', '12', '52'), ('17.2.2023', '47', '47 th round', 'BRN', 'Friday', 'Home', '3:2sn', '12', '54'), ('19.2.2023', '48', '48 th round', 'TRI', 'Sunday', 'Home', '4:3pp', '12', '56'), ('24.2.2023', '49', '49 th round', 'MBO', 'Friday', 'Away', '2:1', '12', '59'), ('26.2.2023', '50', '50 th round', 'PLZ', 'Sunday', 'Home', '2:1', '11', '62'), ('03.3.2023', '51', '51 th round', 'PAR', 'Friday', 'Away', '3:2sn', '12', '64'), ('05.3.2023', '52', '52 th round', 'OLO', 'Sunday', 'Home', '5:1', '11', '67'), ('08.3.2023', '53', 'Playoff 1st round ', 'TRI', 'Wednesday', 'Away', '1:3', '', ''), ('09.3.2023', '54', 'Playoff 1st round ', 'TRI', 'Thursday', 'Away', '4:5pp', '', ''), ('11.3.2023', '55', 'Playoff 1st round ', 'TRI', 'Saturday', 'Home', '2:4', '', ''), ('15.9.2023', '1', '1st round', 'PAR', 'Friday', 'Away', '1:5', '13', '0'), ('17.9.2023', '2', '2nd round', 'PLZ', 'Sunday', 'Home', '4:2', '10', '3'), ('22.9.2023', '3', '3rd round', 'BRN', 'Friday', 'Away', '3:2', '7', '6'), ('24.9.2023', '4', '4 th round', 'LIB', 'Sunday', 'Home', '4:1', '3', '9'), ('27.9.2023', '5', '5 th round', 'HRK', 'Wednesday', 'Away', '3:2sn', '3', '11'), ('29.9.2023', '6', '6 th round', 'MBO', 'Friday', 'Home', '5:2', '3', '14'), ('01.10.2023', '7', '7 th round', 'TRI', 'Sunday', 'Home', '6:4', '2', '17'), ('06.10.2023', '8', '8 th round', 'KVA', 'Friday', 'Away', '4:1', '2', '20'), ('08.10.2023', '9', '9 th round', 'BUD', 'Sunday', 'Home', '4:3', '2', '23'), ('13.10.2023', '10', '10 th round', 'SPA', 'Friday', 'Home', '4:2', '2', '26'), ('15.10.2023', '11', '11 th round', 'KLA', 'Sunday', 'Home', '5:4pp', '2', '28'), ('20.10.2023', '12', '12 th round', 'VIT', 'Friday', 'Home', '6:3', '2', '31'), ('22.10.2023', '13', '13 th round', 'OLO', 'Sunday', 'Away', '1:2', '2', '31'), ('27.10.2023', '14', '14 th round', 'PAR', 'Friday', 'Home', '4:1', '1', '34'), ('29.10.2023', '15', '15 th round', 'PLZ', 'Sunday', 'Away', '2:5', '2', '34'), ('31.10.2023', '16', '16 th round', 'BRN', 'Tuesday', 'Home', '6:3', '2', '37'), ('03.11.2023', '17', '17 th round', 'LIB', 'Friday', 'Away', '2:5', '2', '37'), ('05.11.2023', '18', '18 th round', 'HRK', 'Sunday', 'Home', '0:2', '2', '37'), ('17.11.2023', '19', '19 th round', 'MBO', 'Friday', 'Away', '0:5', '3', '37'), ('19.11.2023', '20', '20 th round', 'TRI', 'Sunday', 'Away', '3:2pp', '3', '39'), ('24.11.2023', '21', '21 th round', 'KVA', 'Friday', 'Home', '6:4', '3', '42'), ('26.11.2023', '22', '22 th round', 'BUD', 'Sunday', 'Away', '0:1', '4', '42'), ('28.11.2023', '23', '23 th round', 'SPA', 'Tuesday', 'Away', '1:3', '4', '42'), ('01.12.2023', '24', '24 th round', 'KLA', 'Friday', 'Away', '0:3', '4', '42'), ('03.12.2023', '25', '25 th round', 'VIT', 'Sunday', 'Away', '2:6', '4', '42'), ('08.12.2023', '26', '26 th round', 'OLO', 'Friday', 'Home', '1:2pp', '5', '43'), ('10.12.2023', '27', '27 th round', 'PAR', 'Sunday', 'Away', '4:2', '5', '46'), ('20.12.2023', '28', '28 th round', 'PLZ', 'Wednesday', 'Home', '2:3sn', '5', '47'), ('26.12.2023', '29', '30 th round', 'LIB', 'Tuesday', 'Home', '6:3', '4', '50'), ('28.12.2023', '30', '31 th round', 'HRK', 'Thursday', 'Away', '5:1', '4', '53')</v>
      </c>
    </row>
    <row r="378" spans="1:23" x14ac:dyDescent="0.25">
      <c r="A378" s="2">
        <v>45290</v>
      </c>
      <c r="B378" s="1">
        <v>31</v>
      </c>
      <c r="C378" s="1" t="s">
        <v>120</v>
      </c>
      <c r="D378" s="1" t="s">
        <v>7</v>
      </c>
      <c r="E378" s="1" t="s">
        <v>56</v>
      </c>
      <c r="F378" s="1" t="s">
        <v>157</v>
      </c>
      <c r="G378" s="11" t="s">
        <v>200</v>
      </c>
      <c r="H378" s="1">
        <v>4</v>
      </c>
      <c r="I378" s="1">
        <v>56</v>
      </c>
      <c r="L378" t="s">
        <v>154</v>
      </c>
      <c r="M378" t="str">
        <f>CONCATENATE("(","'",TEXT(A378,"dd.m.rrrrr"),"'",L378,"'",B378,"'",L378,"'",C378,"'",L378,"'",D378,"'",L378,"'",E378,"'",L378,"'",F378,"'",L378,"'",G378,"'",L378,"'",H378,"'",L378,"'",I378,"'",")")</f>
        <v>('30.12.2023', '31', '32 th round', 'MBO', 'Saturday', 'Home', '6:1', '4', '56')</v>
      </c>
      <c r="W378" t="str">
        <f t="shared" si="5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'17'), ('04.11.2022', '18', '18 th round', 'KLA', 'Friday', 'Away', '2:3pp', '14', '18'), ('06.11.2022', '19', '19 th round', 'KVA', 'Sunday', 'Home', '5:3', '12', '21'), ('18.11.2022', '20', '20 th round', 'HRK', 'Friday', 'Away', '0:3', '13', '21'), ('20.11.2022', '21', '21 th round', 'BRN', 'Sunday', 'Home', '5:1', '11', '24'), ('25.11.2022', '22', '22 th round', 'TRI', 'Friday', 'Home', '1:2pp', '12', '25'), ('27.11.2022', '23', '23 th round', 'MBO', 'Sunday', 'Away', '4:6', '12', '25'), ('29.11.2022', '24', '24 th round', 'PLZ', 'Tuesday', 'Home', '2:4', '12', '25'), ('04.12.2022', '25', '26 th round', 'OLO', 'Sunday', 'Home', '5:3', '12', '28'), ('06.12.2022', '26', '25 th round', 'PAR', 'Tuesday', 'Away', '0:1', '12', '28'), ('09.12.2022', '27', '27 th round', 'VIT', 'Friday', 'Home', '5:3', '12', '31'), ('11.12.2022', '28', '28 th round', 'SPA', 'Sunday', 'Home', '5:2', '12', '34'), ('20.12.2022', '29', '29 th round', 'LIB', 'Tuesday', 'Home', '3:2sn', '11', '36'), ('22.12.2022', '30', '30 th round', 'BUD', 'Thursday', 'Away', '5:2', '11', '39'), ('26.12.2022', '31', '31 th round', 'KLA', 'Monday', 'Home', '2:3', '11', '39'), ('28.12.2022', '32', '32 th round', 'KVA', 'Wednesday', 'Away', '0:3', '11', '39'), ('30.12.2022', '33', '33 th round', 'HRK', 'Friday', 'Home', '2:3pp', '11', '40'), ('03.1.2023', '34', '34 th round', 'BRN', 'Tuesday', 'Away', '1:3', '12', '40'), ('06.1.2023', '35', '35 th round', 'TRI', 'Friday', 'Away', '2:3pp', '11', '41'), ('08.1.2023', '36', '36 th round', 'MBO', 'Sunday', 'Home', '4:3', '10', '44'), ('13.1.2023', '37', '37 th round', 'PLZ', 'Friday', 'Away', '1:4', '11', '44'), ('15.1.2023', '38', '38 th round', 'PAR', 'Sunday', 'Home', '1:2', '11', '44'), ('20.1.2023', '39', '39 th round', 'OLO', 'Friday', 'Away', '8:1', '10', '47'), ('22.1.2023', '40', '40 th round', 'VIT', 'Sunday', 'Away', '3:2sn', '11', '49'), ('25.1.2023', '41', '41 th round', 'SPA', 'Wednesday', 'Away', '2:3', '12', '49'), ('27.1.2023', '42', '42 th round', 'LIB', 'Friday', 'Away', '1:5', '13', '49'), ('29.1.2023', '43', '43 th round', 'BUD', 'Sunday', 'Home', '1:0sn', '12', '51'), ('03.2.2023', '44', '44 th round', 'KLA', 'Friday', 'Away', '2:5', '12', '51'), ('05.2.2023', '45', '45 th round', 'KVA', 'Sunday', 'Home', '1:2pp', '12', '52'), ('15.2.2023', '46', '46 th round', 'HRK', 'Wednesday', 'Away', '0:3', '12', '52'), ('17.2.2023', '47', '47 th round', 'BRN', 'Friday', 'Home', '3:2sn', '12', '54'), ('19.2.2023', '48', '48 th round', 'TRI', 'Sunday', 'Home', '4:3pp', '12', '56'), ('24.2.2023', '49', '49 th round', 'MBO', 'Friday', 'Away', '2:1', '12', '59'), ('26.2.2023', '50', '50 th round', 'PLZ', 'Sunday', 'Home', '2:1', '11', '62'), ('03.3.2023', '51', '51 th round', 'PAR', 'Friday', 'Away', '3:2sn', '12', '64'), ('05.3.2023', '52', '52 th round', 'OLO', 'Sunday', 'Home', '5:1', '11', '67'), ('08.3.2023', '53', 'Playoff 1st round ', 'TRI', 'Wednesday', 'Away', '1:3', '', ''), ('09.3.2023', '54', 'Playoff 1st round ', 'TRI', 'Thursday', 'Away', '4:5pp', '', ''), ('11.3.2023', '55', 'Playoff 1st round ', 'TRI', 'Saturday', 'Home', '2:4', '', ''), ('15.9.2023', '1', '1st round', 'PAR', 'Friday', 'Away', '1:5', '13', '0'), ('17.9.2023', '2', '2nd round', 'PLZ', 'Sunday', 'Home', '4:2', '10', '3'), ('22.9.2023', '3', '3rd round', 'BRN', 'Friday', 'Away', '3:2', '7', '6'), ('24.9.2023', '4', '4 th round', 'LIB', 'Sunday', 'Home', '4:1', '3', '9'), ('27.9.2023', '5', '5 th round', 'HRK', 'Wednesday', 'Away', '3:2sn', '3', '11'), ('29.9.2023', '6', '6 th round', 'MBO', 'Friday', 'Home', '5:2', '3', '14'), ('01.10.2023', '7', '7 th round', 'TRI', 'Sunday', 'Home', '6:4', '2', '17'), ('06.10.2023', '8', '8 th round', 'KVA', 'Friday', 'Away', '4:1', '2', '20'), ('08.10.2023', '9', '9 th round', 'BUD', 'Sunday', 'Home', '4:3', '2', '23'), ('13.10.2023', '10', '10 th round', 'SPA', 'Friday', 'Home', '4:2', '2', '26'), ('15.10.2023', '11', '11 th round', 'KLA', 'Sunday', 'Home', '5:4pp', '2', '28'), ('20.10.2023', '12', '12 th round', 'VIT', 'Friday', 'Home', '6:3', '2', '31'), ('22.10.2023', '13', '13 th round', 'OLO', 'Sunday', 'Away', '1:2', '2', '31'), ('27.10.2023', '14', '14 th round', 'PAR', 'Friday', 'Home', '4:1', '1', '34'), ('29.10.2023', '15', '15 th round', 'PLZ', 'Sunday', 'Away', '2:5', '2', '34'), ('31.10.2023', '16', '16 th round', 'BRN', 'Tuesday', 'Home', '6:3', '2', '37'), ('03.11.2023', '17', '17 th round', 'LIB', 'Friday', 'Away', '2:5', '2', '37'), ('05.11.2023', '18', '18 th round', 'HRK', 'Sunday', 'Home', '0:2', '2', '37'), ('17.11.2023', '19', '19 th round', 'MBO', 'Friday', 'Away', '0:5', '3', '37'), ('19.11.2023', '20', '20 th round', 'TRI', 'Sunday', 'Away', '3:2pp', '3', '39'), ('24.11.2023', '21', '21 th round', 'KVA', 'Friday', 'Home', '6:4', '3', '42'), ('26.11.2023', '22', '22 th round', 'BUD', 'Sunday', 'Away', '0:1', '4', '42'), ('28.11.2023', '23', '23 th round', 'SPA', 'Tuesday', 'Away', '1:3', '4', '42'), ('01.12.2023', '24', '24 th round', 'KLA', 'Friday', 'Away', '0:3', '4', '42'), ('03.12.2023', '25', '25 th round', 'VIT', 'Sunday', 'Away', '2:6', '4', '42'), ('08.12.2023', '26', '26 th round', 'OLO', 'Friday', 'Home', '1:2pp', '5', '43'), ('10.12.2023', '27', '27 th round', 'PAR', 'Sunday', 'Away', '4:2', '5', '46'), ('20.12.2023', '28', '28 th round', 'PLZ', 'Wednesday', 'Home', '2:3sn', '5', '47'), ('26.12.2023', '29', '30 th round', 'LIB', 'Tuesday', 'Home', '6:3', '4', '50'), ('28.12.2023', '30', '31 th round', 'HRK', 'Thursday', 'Away', '5:1', '4', '53'), ('30.12.2023', '31', '32 th round', 'MBO', 'Saturday', 'Home', '6:1', '4', '56')</v>
      </c>
    </row>
    <row r="379" spans="1:23" x14ac:dyDescent="0.25">
      <c r="A379" s="2">
        <v>45294</v>
      </c>
      <c r="B379" s="1">
        <v>32</v>
      </c>
      <c r="C379" s="1" t="s">
        <v>135</v>
      </c>
      <c r="D379" s="1" t="s">
        <v>27</v>
      </c>
      <c r="E379" s="1" t="s">
        <v>60</v>
      </c>
      <c r="F379" s="7" t="s">
        <v>157</v>
      </c>
      <c r="G379" s="11" t="s">
        <v>170</v>
      </c>
      <c r="H379" s="1">
        <v>4</v>
      </c>
      <c r="I379" s="1">
        <v>56</v>
      </c>
      <c r="L379" t="s">
        <v>154</v>
      </c>
      <c r="M379" t="str">
        <f>CONCATENATE("(","'",TEXT(A379,"dd.m.rrrrr"),"'",L379,"'",B379,"'",L379,"'",C379,"'",L379,"'",D379,"'",L379,"'",E379,"'",L379,"'",F379,"'",L379,"'",G379,"'",L379,"'",H379,"'",L379,"'",I379,"'",")")</f>
        <v>('03.1.2024', '32', '47 th round', 'KVA', 'Wednesday', 'Home', '1:6', '4', '56')</v>
      </c>
      <c r="W379" t="str">
        <f t="shared" si="5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'17'), ('04.11.2022', '18', '18 th round', 'KLA', 'Friday', 'Away', '2:3pp', '14', '18'), ('06.11.2022', '19', '19 th round', 'KVA', 'Sunday', 'Home', '5:3', '12', '21'), ('18.11.2022', '20', '20 th round', 'HRK', 'Friday', 'Away', '0:3', '13', '21'), ('20.11.2022', '21', '21 th round', 'BRN', 'Sunday', 'Home', '5:1', '11', '24'), ('25.11.2022', '22', '22 th round', 'TRI', 'Friday', 'Home', '1:2pp', '12', '25'), ('27.11.2022', '23', '23 th round', 'MBO', 'Sunday', 'Away', '4:6', '12', '25'), ('29.11.2022', '24', '24 th round', 'PLZ', 'Tuesday', 'Home', '2:4', '12', '25'), ('04.12.2022', '25', '26 th round', 'OLO', 'Sunday', 'Home', '5:3', '12', '28'), ('06.12.2022', '26', '25 th round', 'PAR', 'Tuesday', 'Away', '0:1', '12', '28'), ('09.12.2022', '27', '27 th round', 'VIT', 'Friday', 'Home', '5:3', '12', '31'), ('11.12.2022', '28', '28 th round', 'SPA', 'Sunday', 'Home', '5:2', '12', '34'), ('20.12.2022', '29', '29 th round', 'LIB', 'Tuesday', 'Home', '3:2sn', '11', '36'), ('22.12.2022', '30', '30 th round', 'BUD', 'Thursday', 'Away', '5:2', '11', '39'), ('26.12.2022', '31', '31 th round', 'KLA', 'Monday', 'Home', '2:3', '11', '39'), ('28.12.2022', '32', '32 th round', 'KVA', 'Wednesday', 'Away', '0:3', '11', '39'), ('30.12.2022', '33', '33 th round', 'HRK', 'Friday', 'Home', '2:3pp', '11', '40'), ('03.1.2023', '34', '34 th round', 'BRN', 'Tuesday', 'Away', '1:3', '12', '40'), ('06.1.2023', '35', '35 th round', 'TRI', 'Friday', 'Away', '2:3pp', '11', '41'), ('08.1.2023', '36', '36 th round', 'MBO', 'Sunday', 'Home', '4:3', '10', '44'), ('13.1.2023', '37', '37 th round', 'PLZ', 'Friday', 'Away', '1:4', '11', '44'), ('15.1.2023', '38', '38 th round', 'PAR', 'Sunday', 'Home', '1:2', '11', '44'), ('20.1.2023', '39', '39 th round', 'OLO', 'Friday', 'Away', '8:1', '10', '47'), ('22.1.2023', '40', '40 th round', 'VIT', 'Sunday', 'Away', '3:2sn', '11', '49'), ('25.1.2023', '41', '41 th round', 'SPA', 'Wednesday', 'Away', '2:3', '12', '49'), ('27.1.2023', '42', '42 th round', 'LIB', 'Friday', 'Away', '1:5', '13', '49'), ('29.1.2023', '43', '43 th round', 'BUD', 'Sunday', 'Home', '1:0sn', '12', '51'), ('03.2.2023', '44', '44 th round', 'KLA', 'Friday', 'Away', '2:5', '12', '51'), ('05.2.2023', '45', '45 th round', 'KVA', 'Sunday', 'Home', '1:2pp', '12', '52'), ('15.2.2023', '46', '46 th round', 'HRK', 'Wednesday', 'Away', '0:3', '12', '52'), ('17.2.2023', '47', '47 th round', 'BRN', 'Friday', 'Home', '3:2sn', '12', '54'), ('19.2.2023', '48', '48 th round', 'TRI', 'Sunday', 'Home', '4:3pp', '12', '56'), ('24.2.2023', '49', '49 th round', 'MBO', 'Friday', 'Away', '2:1', '12', '59'), ('26.2.2023', '50', '50 th round', 'PLZ', 'Sunday', 'Home', '2:1', '11', '62'), ('03.3.2023', '51', '51 th round', 'PAR', 'Friday', 'Away', '3:2sn', '12', '64'), ('05.3.2023', '52', '52 th round', 'OLO', 'Sunday', 'Home', '5:1', '11', '67'), ('08.3.2023', '53', 'Playoff 1st round ', 'TRI', 'Wednesday', 'Away', '1:3', '', ''), ('09.3.2023', '54', 'Playoff 1st round ', 'TRI', 'Thursday', 'Away', '4:5pp', '', ''), ('11.3.2023', '55', 'Playoff 1st round ', 'TRI', 'Saturday', 'Home', '2:4', '', ''), ('15.9.2023', '1', '1st round', 'PAR', 'Friday', 'Away', '1:5', '13', '0'), ('17.9.2023', '2', '2nd round', 'PLZ', 'Sunday', 'Home', '4:2', '10', '3'), ('22.9.2023', '3', '3rd round', 'BRN', 'Friday', 'Away', '3:2', '7', '6'), ('24.9.2023', '4', '4 th round', 'LIB', 'Sunday', 'Home', '4:1', '3', '9'), ('27.9.2023', '5', '5 th round', 'HRK', 'Wednesday', 'Away', '3:2sn', '3', '11'), ('29.9.2023', '6', '6 th round', 'MBO', 'Friday', 'Home', '5:2', '3', '14'), ('01.10.2023', '7', '7 th round', 'TRI', 'Sunday', 'Home', '6:4', '2', '17'), ('06.10.2023', '8', '8 th round', 'KVA', 'Friday', 'Away', '4:1', '2', '20'), ('08.10.2023', '9', '9 th round', 'BUD', 'Sunday', 'Home', '4:3', '2', '23'), ('13.10.2023', '10', '10 th round', 'SPA', 'Friday', 'Home', '4:2', '2', '26'), ('15.10.2023', '11', '11 th round', 'KLA', 'Sunday', 'Home', '5:4pp', '2', '28'), ('20.10.2023', '12', '12 th round', 'VIT', 'Friday', 'Home', '6:3', '2', '31'), ('22.10.2023', '13', '13 th round', 'OLO', 'Sunday', 'Away', '1:2', '2', '31'), ('27.10.2023', '14', '14 th round', 'PAR', 'Friday', 'Home', '4:1', '1', '34'), ('29.10.2023', '15', '15 th round', 'PLZ', 'Sunday', 'Away', '2:5', '2', '34'), ('31.10.2023', '16', '16 th round', 'BRN', 'Tuesday', 'Home', '6:3', '2', '37'), ('03.11.2023', '17', '17 th round', 'LIB', 'Friday', 'Away', '2:5', '2', '37'), ('05.11.2023', '18', '18 th round', 'HRK', 'Sunday', 'Home', '0:2', '2', '37'), ('17.11.2023', '19', '19 th round', 'MBO', 'Friday', 'Away', '0:5', '3', '37'), ('19.11.2023', '20', '20 th round', 'TRI', 'Sunday', 'Away', '3:2pp', '3', '39'), ('24.11.2023', '21', '21 th round', 'KVA', 'Friday', 'Home', '6:4', '3', '42'), ('26.11.2023', '22', '22 th round', 'BUD', 'Sunday', 'Away', '0:1', '4', '42'), ('28.11.2023', '23', '23 th round', 'SPA', 'Tuesday', 'Away', '1:3', '4', '42'), ('01.12.2023', '24', '24 th round', 'KLA', 'Friday', 'Away', '0:3', '4', '42'), ('03.12.2023', '25', '25 th round', 'VIT', 'Sunday', 'Away', '2:6', '4', '42'), ('08.12.2023', '26', '26 th round', 'OLO', 'Friday', 'Home', '1:2pp', '5', '43'), ('10.12.2023', '27', '27 th round', 'PAR', 'Sunday', 'Away', '4:2', '5', '46'), ('20.12.2023', '28', '28 th round', 'PLZ', 'Wednesday', 'Home', '2:3sn', '5', '47'), ('26.12.2023', '29', '30 th round', 'LIB', 'Tuesday', 'Home', '6:3', '4', '50'), ('28.12.2023', '30', '31 th round', 'HRK', 'Thursday', 'Away', '5:1', '4', '53'), ('30.12.2023', '31', '32 th round', 'MBO', 'Saturday', 'Home', '6:1', '4', '56'), ('03.1.2024', '32', '47 th round', 'KVA', 'Wednesday', 'Home', '1:6', '4', '56')</v>
      </c>
    </row>
    <row r="380" spans="1:23" x14ac:dyDescent="0.25">
      <c r="A380" s="2">
        <v>45296</v>
      </c>
      <c r="B380" s="1">
        <v>33</v>
      </c>
      <c r="C380" s="1" t="s">
        <v>121</v>
      </c>
      <c r="D380" s="1" t="s">
        <v>6</v>
      </c>
      <c r="E380" s="1" t="s">
        <v>55</v>
      </c>
      <c r="F380" s="1" t="s">
        <v>157</v>
      </c>
      <c r="G380" s="11" t="s">
        <v>196</v>
      </c>
      <c r="H380" s="1">
        <v>4</v>
      </c>
      <c r="I380" s="1">
        <v>59</v>
      </c>
      <c r="L380" t="s">
        <v>154</v>
      </c>
      <c r="M380" t="str">
        <f>CONCATENATE("(","'",TEXT(A380,"dd.m.rrrrr"),"'",L380,"'",B380,"'",L380,"'",C380,"'",L380,"'",D380,"'",L380,"'",E380,"'",L380,"'",F380,"'",L380,"'",G380,"'",L380,"'",H380,"'",L380,"'",I380,"'",")")</f>
        <v>('05.1.2024', '33', '33 th round', 'TRI', 'Friday', 'Home', '5:2', '4', '59')</v>
      </c>
      <c r="W380" t="str">
        <f t="shared" si="5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'17'), ('04.11.2022', '18', '18 th round', 'KLA', 'Friday', 'Away', '2:3pp', '14', '18'), ('06.11.2022', '19', '19 th round', 'KVA', 'Sunday', 'Home', '5:3', '12', '21'), ('18.11.2022', '20', '20 th round', 'HRK', 'Friday', 'Away', '0:3', '13', '21'), ('20.11.2022', '21', '21 th round', 'BRN', 'Sunday', 'Home', '5:1', '11', '24'), ('25.11.2022', '22', '22 th round', 'TRI', 'Friday', 'Home', '1:2pp', '12', '25'), ('27.11.2022', '23', '23 th round', 'MBO', 'Sunday', 'Away', '4:6', '12', '25'), ('29.11.2022', '24', '24 th round', 'PLZ', 'Tuesday', 'Home', '2:4', '12', '25'), ('04.12.2022', '25', '26 th round', 'OLO', 'Sunday', 'Home', '5:3', '12', '28'), ('06.12.2022', '26', '25 th round', 'PAR', 'Tuesday', 'Away', '0:1', '12', '28'), ('09.12.2022', '27', '27 th round', 'VIT', 'Friday', 'Home', '5:3', '12', '31'), ('11.12.2022', '28', '28 th round', 'SPA', 'Sunday', 'Home', '5:2', '12', '34'), ('20.12.2022', '29', '29 th round', 'LIB', 'Tuesday', 'Home', '3:2sn', '11', '36'), ('22.12.2022', '30', '30 th round', 'BUD', 'Thursday', 'Away', '5:2', '11', '39'), ('26.12.2022', '31', '31 th round', 'KLA', 'Monday', 'Home', '2:3', '11', '39'), ('28.12.2022', '32', '32 th round', 'KVA', 'Wednesday', 'Away', '0:3', '11', '39'), ('30.12.2022', '33', '33 th round', 'HRK', 'Friday', 'Home', '2:3pp', '11', '40'), ('03.1.2023', '34', '34 th round', 'BRN', 'Tuesday', 'Away', '1:3', '12', '40'), ('06.1.2023', '35', '35 th round', 'TRI', 'Friday', 'Away', '2:3pp', '11', '41'), ('08.1.2023', '36', '36 th round', 'MBO', 'Sunday', 'Home', '4:3', '10', '44'), ('13.1.2023', '37', '37 th round', 'PLZ', 'Friday', 'Away', '1:4', '11', '44'), ('15.1.2023', '38', '38 th round', 'PAR', 'Sunday', 'Home', '1:2', '11', '44'), ('20.1.2023', '39', '39 th round', 'OLO', 'Friday', 'Away', '8:1', '10', '47'), ('22.1.2023', '40', '40 th round', 'VIT', 'Sunday', 'Away', '3:2sn', '11', '49'), ('25.1.2023', '41', '41 th round', 'SPA', 'Wednesday', 'Away', '2:3', '12', '49'), ('27.1.2023', '42', '42 th round', 'LIB', 'Friday', 'Away', '1:5', '13', '49'), ('29.1.2023', '43', '43 th round', 'BUD', 'Sunday', 'Home', '1:0sn', '12', '51'), ('03.2.2023', '44', '44 th round', 'KLA', 'Friday', 'Away', '2:5', '12', '51'), ('05.2.2023', '45', '45 th round', 'KVA', 'Sunday', 'Home', '1:2pp', '12', '52'), ('15.2.2023', '46', '46 th round', 'HRK', 'Wednesday', 'Away', '0:3', '12', '52'), ('17.2.2023', '47', '47 th round', 'BRN', 'Friday', 'Home', '3:2sn', '12', '54'), ('19.2.2023', '48', '48 th round', 'TRI', 'Sunday', 'Home', '4:3pp', '12', '56'), ('24.2.2023', '49', '49 th round', 'MBO', 'Friday', 'Away', '2:1', '12', '59'), ('26.2.2023', '50', '50 th round', 'PLZ', 'Sunday', 'Home', '2:1', '11', '62'), ('03.3.2023', '51', '51 th round', 'PAR', 'Friday', 'Away', '3:2sn', '12', '64'), ('05.3.2023', '52', '52 th round', 'OLO', 'Sunday', 'Home', '5:1', '11', '67'), ('08.3.2023', '53', 'Playoff 1st round ', 'TRI', 'Wednesday', 'Away', '1:3', '', ''), ('09.3.2023', '54', 'Playoff 1st round ', 'TRI', 'Thursday', 'Away', '4:5pp', '', ''), ('11.3.2023', '55', 'Playoff 1st round ', 'TRI', 'Saturday', 'Home', '2:4', '', ''), ('15.9.2023', '1', '1st round', 'PAR', 'Friday', 'Away', '1:5', '13', '0'), ('17.9.2023', '2', '2nd round', 'PLZ', 'Sunday', 'Home', '4:2', '10', '3'), ('22.9.2023', '3', '3rd round', 'BRN', 'Friday', 'Away', '3:2', '7', '6'), ('24.9.2023', '4', '4 th round', 'LIB', 'Sunday', 'Home', '4:1', '3', '9'), ('27.9.2023', '5', '5 th round', 'HRK', 'Wednesday', 'Away', '3:2sn', '3', '11'), ('29.9.2023', '6', '6 th round', 'MBO', 'Friday', 'Home', '5:2', '3', '14'), ('01.10.2023', '7', '7 th round', 'TRI', 'Sunday', 'Home', '6:4', '2', '17'), ('06.10.2023', '8', '8 th round', 'KVA', 'Friday', 'Away', '4:1', '2', '20'), ('08.10.2023', '9', '9 th round', 'BUD', 'Sunday', 'Home', '4:3', '2', '23'), ('13.10.2023', '10', '10 th round', 'SPA', 'Friday', 'Home', '4:2', '2', '26'), ('15.10.2023', '11', '11 th round', 'KLA', 'Sunday', 'Home', '5:4pp', '2', '28'), ('20.10.2023', '12', '12 th round', 'VIT', 'Friday', 'Home', '6:3', '2', '31'), ('22.10.2023', '13', '13 th round', 'OLO', 'Sunday', 'Away', '1:2', '2', '31'), ('27.10.2023', '14', '14 th round', 'PAR', 'Friday', 'Home', '4:1', '1', '34'), ('29.10.2023', '15', '15 th round', 'PLZ', 'Sunday', 'Away', '2:5', '2', '34'), ('31.10.2023', '16', '16 th round', 'BRN', 'Tuesday', 'Home', '6:3', '2', '37'), ('03.11.2023', '17', '17 th round', 'LIB', 'Friday', 'Away', '2:5', '2', '37'), ('05.11.2023', '18', '18 th round', 'HRK', 'Sunday', 'Home', '0:2', '2', '37'), ('17.11.2023', '19', '19 th round', 'MBO', 'Friday', 'Away', '0:5', '3', '37'), ('19.11.2023', '20', '20 th round', 'TRI', 'Sunday', 'Away', '3:2pp', '3', '39'), ('24.11.2023', '21', '21 th round', 'KVA', 'Friday', 'Home', '6:4', '3', '42'), ('26.11.2023', '22', '22 th round', 'BUD', 'Sunday', 'Away', '0:1', '4', '42'), ('28.11.2023', '23', '23 th round', 'SPA', 'Tuesday', 'Away', '1:3', '4', '42'), ('01.12.2023', '24', '24 th round', 'KLA', 'Friday', 'Away', '0:3', '4', '42'), ('03.12.2023', '25', '25 th round', 'VIT', 'Sunday', 'Away', '2:6', '4', '42'), ('08.12.2023', '26', '26 th round', 'OLO', 'Friday', 'Home', '1:2pp', '5', '43'), ('10.12.2023', '27', '27 th round', 'PAR', 'Sunday', 'Away', '4:2', '5', '46'), ('20.12.2023', '28', '28 th round', 'PLZ', 'Wednesday', 'Home', '2:3sn', '5', '47'), ('26.12.2023', '29', '30 th round', 'LIB', 'Tuesday', 'Home', '6:3', '4', '50'), ('28.12.2023', '30', '31 th round', 'HRK', 'Thursday', 'Away', '5:1', '4', '53'), ('30.12.2023', '31', '32 th round', 'MBO', 'Saturday', 'Home', '6:1', '4', '56'), ('03.1.2024', '32', '47 th round', 'KVA', 'Wednesday', 'Home', '1:6', '4', '56'), ('05.1.2024', '33', '33 th round', 'TRI', 'Friday', 'Home', '5:2', '4', '59')</v>
      </c>
    </row>
    <row r="381" spans="1:23" x14ac:dyDescent="0.25">
      <c r="A381" s="2">
        <v>45298</v>
      </c>
      <c r="B381" s="1">
        <v>34</v>
      </c>
      <c r="C381" s="1" t="s">
        <v>122</v>
      </c>
      <c r="D381" s="1" t="s">
        <v>27</v>
      </c>
      <c r="E381" s="1" t="s">
        <v>57</v>
      </c>
      <c r="F381" s="1" t="s">
        <v>155</v>
      </c>
      <c r="G381" s="3" t="s">
        <v>37</v>
      </c>
      <c r="H381" s="1">
        <v>4</v>
      </c>
      <c r="I381" s="1">
        <v>60</v>
      </c>
      <c r="L381" t="s">
        <v>154</v>
      </c>
      <c r="M381" t="str">
        <f>CONCATENATE("(","'",TEXT(A381,"dd.m.rrrrr"),"'",L381,"'",B381,"'",L381,"'",C381,"'",L381,"'",D381,"'",L381,"'",E381,"'",L381,"'",F381,"'",L381,"'",G381,"'",L381,"'",H381,"'",L381,"'",I381,"'",")")</f>
        <v>('07.1.2024', '34', '34 th round', 'KVA', 'Sunday', 'Away', '1:2pp', '4', '60')</v>
      </c>
      <c r="W381" t="str">
        <f t="shared" si="5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'17'), ('04.11.2022', '18', '18 th round', 'KLA', 'Friday', 'Away', '2:3pp', '14', '18'), ('06.11.2022', '19', '19 th round', 'KVA', 'Sunday', 'Home', '5:3', '12', '21'), ('18.11.2022', '20', '20 th round', 'HRK', 'Friday', 'Away', '0:3', '13', '21'), ('20.11.2022', '21', '21 th round', 'BRN', 'Sunday', 'Home', '5:1', '11', '24'), ('25.11.2022', '22', '22 th round', 'TRI', 'Friday', 'Home', '1:2pp', '12', '25'), ('27.11.2022', '23', '23 th round', 'MBO', 'Sunday', 'Away', '4:6', '12', '25'), ('29.11.2022', '24', '24 th round', 'PLZ', 'Tuesday', 'Home', '2:4', '12', '25'), ('04.12.2022', '25', '26 th round', 'OLO', 'Sunday', 'Home', '5:3', '12', '28'), ('06.12.2022', '26', '25 th round', 'PAR', 'Tuesday', 'Away', '0:1', '12', '28'), ('09.12.2022', '27', '27 th round', 'VIT', 'Friday', 'Home', '5:3', '12', '31'), ('11.12.2022', '28', '28 th round', 'SPA', 'Sunday', 'Home', '5:2', '12', '34'), ('20.12.2022', '29', '29 th round', 'LIB', 'Tuesday', 'Home', '3:2sn', '11', '36'), ('22.12.2022', '30', '30 th round', 'BUD', 'Thursday', 'Away', '5:2', '11', '39'), ('26.12.2022', '31', '31 th round', 'KLA', 'Monday', 'Home', '2:3', '11', '39'), ('28.12.2022', '32', '32 th round', 'KVA', 'Wednesday', 'Away', '0:3', '11', '39'), ('30.12.2022', '33', '33 th round', 'HRK', 'Friday', 'Home', '2:3pp', '11', '40'), ('03.1.2023', '34', '34 th round', 'BRN', 'Tuesday', 'Away', '1:3', '12', '40'), ('06.1.2023', '35', '35 th round', 'TRI', 'Friday', 'Away', '2:3pp', '11', '41'), ('08.1.2023', '36', '36 th round', 'MBO', 'Sunday', 'Home', '4:3', '10', '44'), ('13.1.2023', '37', '37 th round', 'PLZ', 'Friday', 'Away', '1:4', '11', '44'), ('15.1.2023', '38', '38 th round', 'PAR', 'Sunday', 'Home', '1:2', '11', '44'), ('20.1.2023', '39', '39 th round', 'OLO', 'Friday', 'Away', '8:1', '10', '47'), ('22.1.2023', '40', '40 th round', 'VIT', 'Sunday', 'Away', '3:2sn', '11', '49'), ('25.1.2023', '41', '41 th round', 'SPA', 'Wednesday', 'Away', '2:3', '12', '49'), ('27.1.2023', '42', '42 th round', 'LIB', 'Friday', 'Away', '1:5', '13', '49'), ('29.1.2023', '43', '43 th round', 'BUD', 'Sunday', 'Home', '1:0sn', '12', '51'), ('03.2.2023', '44', '44 th round', 'KLA', 'Friday', 'Away', '2:5', '12', '51'), ('05.2.2023', '45', '45 th round', 'KVA', 'Sunday', 'Home', '1:2pp', '12', '52'), ('15.2.2023', '46', '46 th round', 'HRK', 'Wednesday', 'Away', '0:3', '12', '52'), ('17.2.2023', '47', '47 th round', 'BRN', 'Friday', 'Home', '3:2sn', '12', '54'), ('19.2.2023', '48', '48 th round', 'TRI', 'Sunday', 'Home', '4:3pp', '12', '56'), ('24.2.2023', '49', '49 th round', 'MBO', 'Friday', 'Away', '2:1', '12', '59'), ('26.2.2023', '50', '50 th round', 'PLZ', 'Sunday', 'Home', '2:1', '11', '62'), ('03.3.2023', '51', '51 th round', 'PAR', 'Friday', 'Away', '3:2sn', '12', '64'), ('05.3.2023', '52', '52 th round', 'OLO', 'Sunday', 'Home', '5:1', '11', '67'), ('08.3.2023', '53', 'Playoff 1st round ', 'TRI', 'Wednesday', 'Away', '1:3', '', ''), ('09.3.2023', '54', 'Playoff 1st round ', 'TRI', 'Thursday', 'Away', '4:5pp', '', ''), ('11.3.2023', '55', 'Playoff 1st round ', 'TRI', 'Saturday', 'Home', '2:4', '', ''), ('15.9.2023', '1', '1st round', 'PAR', 'Friday', 'Away', '1:5', '13', '0'), ('17.9.2023', '2', '2nd round', 'PLZ', 'Sunday', 'Home', '4:2', '10', '3'), ('22.9.2023', '3', '3rd round', 'BRN', 'Friday', 'Away', '3:2', '7', '6'), ('24.9.2023', '4', '4 th round', 'LIB', 'Sunday', 'Home', '4:1', '3', '9'), ('27.9.2023', '5', '5 th round', 'HRK', 'Wednesday', 'Away', '3:2sn', '3', '11'), ('29.9.2023', '6', '6 th round', 'MBO', 'Friday', 'Home', '5:2', '3', '14'), ('01.10.2023', '7', '7 th round', 'TRI', 'Sunday', 'Home', '6:4', '2', '17'), ('06.10.2023', '8', '8 th round', 'KVA', 'Friday', 'Away', '4:1', '2', '20'), ('08.10.2023', '9', '9 th round', 'BUD', 'Sunday', 'Home', '4:3', '2', '23'), ('13.10.2023', '10', '10 th round', 'SPA', 'Friday', 'Home', '4:2', '2', '26'), ('15.10.2023', '11', '11 th round', 'KLA', 'Sunday', 'Home', '5:4pp', '2', '28'), ('20.10.2023', '12', '12 th round', 'VIT', 'Friday', 'Home', '6:3', '2', '31'), ('22.10.2023', '13', '13 th round', 'OLO', 'Sunday', 'Away', '1:2', '2', '31'), ('27.10.2023', '14', '14 th round', 'PAR', 'Friday', 'Home', '4:1', '1', '34'), ('29.10.2023', '15', '15 th round', 'PLZ', 'Sunday', 'Away', '2:5', '2', '34'), ('31.10.2023', '16', '16 th round', 'BRN', 'Tuesday', 'Home', '6:3', '2', '37'), ('03.11.2023', '17', '17 th round', 'LIB', 'Friday', 'Away', '2:5', '2', '37'), ('05.11.2023', '18', '18 th round', 'HRK', 'Sunday', 'Home', '0:2', '2', '37'), ('17.11.2023', '19', '19 th round', 'MBO', 'Friday', 'Away', '0:5', '3', '37'), ('19.11.2023', '20', '20 th round', 'TRI', 'Sunday', 'Away', '3:2pp', '3', '39'), ('24.11.2023', '21', '21 th round', 'KVA', 'Friday', 'Home', '6:4', '3', '42'), ('26.11.2023', '22', '22 th round', 'BUD', 'Sunday', 'Away', '0:1', '4', '42'), ('28.11.2023', '23', '23 th round', 'SPA', 'Tuesday', 'Away', '1:3', '4', '42'), ('01.12.2023', '24', '24 th round', 'KLA', 'Friday', 'Away', '0:3', '4', '42'), ('03.12.2023', '25', '25 th round', 'VIT', 'Sunday', 'Away', '2:6', '4', '42'), ('08.12.2023', '26', '26 th round', 'OLO', 'Friday', 'Home', '1:2pp', '5', '43'), ('10.12.2023', '27', '27 th round', 'PAR', 'Sunday', 'Away', '4:2', '5', '46'), ('20.12.2023', '28', '28 th round', 'PLZ', 'Wednesday', 'Home', '2:3sn', '5', '47'), ('26.12.2023', '29', '30 th round', 'LIB', 'Tuesday', 'Home', '6:3', '4', '50'), ('28.12.2023', '30', '31 th round', 'HRK', 'Thursday', 'Away', '5:1', '4', '53'), ('30.12.2023', '31', '32 th round', 'MBO', 'Saturday', 'Home', '6:1', '4', '56'), ('03.1.2024', '32', '47 th round', 'KVA', 'Wednesday', 'Home', '1:6', '4', '56'), ('05.1.2024', '33', '33 th round', 'TRI', 'Friday', 'Home', '5:2', '4', '59'), ('07.1.2024', '34', '34 th round', 'KVA', 'Sunday', 'Away', '1:2pp', '4', '60')</v>
      </c>
    </row>
    <row r="382" spans="1:23" x14ac:dyDescent="0.25">
      <c r="A382" s="2">
        <v>45303</v>
      </c>
      <c r="B382" s="1">
        <v>35</v>
      </c>
      <c r="C382" s="1" t="s">
        <v>123</v>
      </c>
      <c r="D382" s="1" t="s">
        <v>36</v>
      </c>
      <c r="E382" s="1" t="s">
        <v>55</v>
      </c>
      <c r="F382" s="1" t="s">
        <v>157</v>
      </c>
      <c r="G382" s="3" t="s">
        <v>19</v>
      </c>
      <c r="H382" s="1">
        <v>4</v>
      </c>
      <c r="I382" s="1">
        <v>62</v>
      </c>
      <c r="L382" t="s">
        <v>154</v>
      </c>
      <c r="M382" t="str">
        <f>CONCATENATE("(","'",TEXT(A382,"dd.m.rrrrr"),"'",L382,"'",B382,"'",L382,"'",C382,"'",L382,"'",D382,"'",L382,"'",E382,"'",L382,"'",F382,"'",L382,"'",G382,"'",L382,"'",H382,"'",L382,"'",I382,"'",")")</f>
        <v>('12.1.2024', '35', '35 th round', 'BUD', 'Friday', 'Home', '4:3pp', '4', '62')</v>
      </c>
      <c r="W382" t="str">
        <f t="shared" si="5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'17'), ('04.11.2022', '18', '18 th round', 'KLA', 'Friday', 'Away', '2:3pp', '14', '18'), ('06.11.2022', '19', '19 th round', 'KVA', 'Sunday', 'Home', '5:3', '12', '21'), ('18.11.2022', '20', '20 th round', 'HRK', 'Friday', 'Away', '0:3', '13', '21'), ('20.11.2022', '21', '21 th round', 'BRN', 'Sunday', 'Home', '5:1', '11', '24'), ('25.11.2022', '22', '22 th round', 'TRI', 'Friday', 'Home', '1:2pp', '12', '25'), ('27.11.2022', '23', '23 th round', 'MBO', 'Sunday', 'Away', '4:6', '12', '25'), ('29.11.2022', '24', '24 th round', 'PLZ', 'Tuesday', 'Home', '2:4', '12', '25'), ('04.12.2022', '25', '26 th round', 'OLO', 'Sunday', 'Home', '5:3', '12', '28'), ('06.12.2022', '26', '25 th round', 'PAR', 'Tuesday', 'Away', '0:1', '12', '28'), ('09.12.2022', '27', '27 th round', 'VIT', 'Friday', 'Home', '5:3', '12', '31'), ('11.12.2022', '28', '28 th round', 'SPA', 'Sunday', 'Home', '5:2', '12', '34'), ('20.12.2022', '29', '29 th round', 'LIB', 'Tuesday', 'Home', '3:2sn', '11', '36'), ('22.12.2022', '30', '30 th round', 'BUD', 'Thursday', 'Away', '5:2', '11', '39'), ('26.12.2022', '31', '31 th round', 'KLA', 'Monday', 'Home', '2:3', '11', '39'), ('28.12.2022', '32', '32 th round', 'KVA', 'Wednesday', 'Away', '0:3', '11', '39'), ('30.12.2022', '33', '33 th round', 'HRK', 'Friday', 'Home', '2:3pp', '11', '40'), ('03.1.2023', '34', '34 th round', 'BRN', 'Tuesday', 'Away', '1:3', '12', '40'), ('06.1.2023', '35', '35 th round', 'TRI', 'Friday', 'Away', '2:3pp', '11', '41'), ('08.1.2023', '36', '36 th round', 'MBO', 'Sunday', 'Home', '4:3', '10', '44'), ('13.1.2023', '37', '37 th round', 'PLZ', 'Friday', 'Away', '1:4', '11', '44'), ('15.1.2023', '38', '38 th round', 'PAR', 'Sunday', 'Home', '1:2', '11', '44'), ('20.1.2023', '39', '39 th round', 'OLO', 'Friday', 'Away', '8:1', '10', '47'), ('22.1.2023', '40', '40 th round', 'VIT', 'Sunday', 'Away', '3:2sn', '11', '49'), ('25.1.2023', '41', '41 th round', 'SPA', 'Wednesday', 'Away', '2:3', '12', '49'), ('27.1.2023', '42', '42 th round', 'LIB', 'Friday', 'Away', '1:5', '13', '49'), ('29.1.2023', '43', '43 th round', 'BUD', 'Sunday', 'Home', '1:0sn', '12', '51'), ('03.2.2023', '44', '44 th round', 'KLA', 'Friday', 'Away', '2:5', '12', '51'), ('05.2.2023', '45', '45 th round', 'KVA', 'Sunday', 'Home', '1:2pp', '12', '52'), ('15.2.2023', '46', '46 th round', 'HRK', 'Wednesday', 'Away', '0:3', '12', '52'), ('17.2.2023', '47', '47 th round', 'BRN', 'Friday', 'Home', '3:2sn', '12', '54'), ('19.2.2023', '48', '48 th round', 'TRI', 'Sunday', 'Home', '4:3pp', '12', '56'), ('24.2.2023', '49', '49 th round', 'MBO', 'Friday', 'Away', '2:1', '12', '59'), ('26.2.2023', '50', '50 th round', 'PLZ', 'Sunday', 'Home', '2:1', '11', '62'), ('03.3.2023', '51', '51 th round', 'PAR', 'Friday', 'Away', '3:2sn', '12', '64'), ('05.3.2023', '52', '52 th round', 'OLO', 'Sunday', 'Home', '5:1', '11', '67'), ('08.3.2023', '53', 'Playoff 1st round ', 'TRI', 'Wednesday', 'Away', '1:3', '', ''), ('09.3.2023', '54', 'Playoff 1st round ', 'TRI', 'Thursday', 'Away', '4:5pp', '', ''), ('11.3.2023', '55', 'Playoff 1st round ', 'TRI', 'Saturday', 'Home', '2:4', '', ''), ('15.9.2023', '1', '1st round', 'PAR', 'Friday', 'Away', '1:5', '13', '0'), ('17.9.2023', '2', '2nd round', 'PLZ', 'Sunday', 'Home', '4:2', '10', '3'), ('22.9.2023', '3', '3rd round', 'BRN', 'Friday', 'Away', '3:2', '7', '6'), ('24.9.2023', '4', '4 th round', 'LIB', 'Sunday', 'Home', '4:1', '3', '9'), ('27.9.2023', '5', '5 th round', 'HRK', 'Wednesday', 'Away', '3:2sn', '3', '11'), ('29.9.2023', '6', '6 th round', 'MBO', 'Friday', 'Home', '5:2', '3', '14'), ('01.10.2023', '7', '7 th round', 'TRI', 'Sunday', 'Home', '6:4', '2', '17'), ('06.10.2023', '8', '8 th round', 'KVA', 'Friday', 'Away', '4:1', '2', '20'), ('08.10.2023', '9', '9 th round', 'BUD', 'Sunday', 'Home', '4:3', '2', '23'), ('13.10.2023', '10', '10 th round', 'SPA', 'Friday', 'Home', '4:2', '2', '26'), ('15.10.2023', '11', '11 th round', 'KLA', 'Sunday', 'Home', '5:4pp', '2', '28'), ('20.10.2023', '12', '12 th round', 'VIT', 'Friday', 'Home', '6:3', '2', '31'), ('22.10.2023', '13', '13 th round', 'OLO', 'Sunday', 'Away', '1:2', '2', '31'), ('27.10.2023', '14', '14 th round', 'PAR', 'Friday', 'Home', '4:1', '1', '34'), ('29.10.2023', '15', '15 th round', 'PLZ', 'Sunday', 'Away', '2:5', '2', '34'), ('31.10.2023', '16', '16 th round', 'BRN', 'Tuesday', 'Home', '6:3', '2', '37'), ('03.11.2023', '17', '17 th round', 'LIB', 'Friday', 'Away', '2:5', '2', '37'), ('05.11.2023', '18', '18 th round', 'HRK', 'Sunday', 'Home', '0:2', '2', '37'), ('17.11.2023', '19', '19 th round', 'MBO', 'Friday', 'Away', '0:5', '3', '37'), ('19.11.2023', '20', '20 th round', 'TRI', 'Sunday', 'Away', '3:2pp', '3', '39'), ('24.11.2023', '21', '21 th round', 'KVA', 'Friday', 'Home', '6:4', '3', '42'), ('26.11.2023', '22', '22 th round', 'BUD', 'Sunday', 'Away', '0:1', '4', '42'), ('28.11.2023', '23', '23 th round', 'SPA', 'Tuesday', 'Away', '1:3', '4', '42'), ('01.12.2023', '24', '24 th round', 'KLA', 'Friday', 'Away', '0:3', '4', '42'), ('03.12.2023', '25', '25 th round', 'VIT', 'Sunday', 'Away', '2:6', '4', '42'), ('08.12.2023', '26', '26 th round', 'OLO', 'Friday', 'Home', '1:2pp', '5', '43'), ('10.12.2023', '27', '27 th round', 'PAR', 'Sunday', 'Away', '4:2', '5', '46'), ('20.12.2023', '28', '28 th round', 'PLZ', 'Wednesday', 'Home', '2:3sn', '5', '47'), ('26.12.2023', '29', '30 th round', 'LIB', 'Tuesday', 'Home', '6:3', '4', '50'), ('28.12.2023', '30', '31 th round', 'HRK', 'Thursday', 'Away', '5:1', '4', '53'), ('30.12.2023', '31', '32 th round', 'MBO', 'Saturday', 'Home', '6:1', '4', '56'), ('03.1.2024', '32', '47 th round', 'KVA', 'Wednesday', 'Home', '1:6', '4', '56'), ('05.1.2024', '33', '33 th round', 'TRI', 'Friday', 'Home', '5:2', '4', '59'), ('07.1.2024', '34', '34 th round', 'KVA', 'Sunday', 'Away', '1:2pp', '4', '60'), ('12.1.2024', '35', '35 th round', 'BUD', 'Friday', 'Home', '4:3pp', '4', '62')</v>
      </c>
    </row>
    <row r="383" spans="1:23" x14ac:dyDescent="0.25">
      <c r="A383" s="2">
        <v>45305</v>
      </c>
      <c r="B383" s="1">
        <v>36</v>
      </c>
      <c r="C383" s="1" t="s">
        <v>124</v>
      </c>
      <c r="D383" s="1" t="s">
        <v>3</v>
      </c>
      <c r="E383" s="1" t="s">
        <v>57</v>
      </c>
      <c r="F383" s="1" t="s">
        <v>155</v>
      </c>
      <c r="G383" s="11" t="s">
        <v>183</v>
      </c>
      <c r="H383" s="1">
        <v>4</v>
      </c>
      <c r="I383" s="1">
        <v>62</v>
      </c>
      <c r="L383" t="s">
        <v>154</v>
      </c>
      <c r="M383" t="str">
        <f>CONCATENATE("(","'",TEXT(A383,"dd.m.rrrrr"),"'",L383,"'",B383,"'",L383,"'",C383,"'",L383,"'",D383,"'",L383,"'",E383,"'",L383,"'",F383,"'",L383,"'",G383,"'",L383,"'",H383,"'",L383,"'",I383,"'",")")</f>
        <v>('14.1.2024', '36', '36 th round', 'SPA', 'Sunday', 'Away', '3:6', '4', '62')</v>
      </c>
      <c r="W383" t="str">
        <f t="shared" si="5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'17'), ('04.11.2022', '18', '18 th round', 'KLA', 'Friday', 'Away', '2:3pp', '14', '18'), ('06.11.2022', '19', '19 th round', 'KVA', 'Sunday', 'Home', '5:3', '12', '21'), ('18.11.2022', '20', '20 th round', 'HRK', 'Friday', 'Away', '0:3', '13', '21'), ('20.11.2022', '21', '21 th round', 'BRN', 'Sunday', 'Home', '5:1', '11', '24'), ('25.11.2022', '22', '22 th round', 'TRI', 'Friday', 'Home', '1:2pp', '12', '25'), ('27.11.2022', '23', '23 th round', 'MBO', 'Sunday', 'Away', '4:6', '12', '25'), ('29.11.2022', '24', '24 th round', 'PLZ', 'Tuesday', 'Home', '2:4', '12', '25'), ('04.12.2022', '25', '26 th round', 'OLO', 'Sunday', 'Home', '5:3', '12', '28'), ('06.12.2022', '26', '25 th round', 'PAR', 'Tuesday', 'Away', '0:1', '12', '28'), ('09.12.2022', '27', '27 th round', 'VIT', 'Friday', 'Home', '5:3', '12', '31'), ('11.12.2022', '28', '28 th round', 'SPA', 'Sunday', 'Home', '5:2', '12', '34'), ('20.12.2022', '29', '29 th round', 'LIB', 'Tuesday', 'Home', '3:2sn', '11', '36'), ('22.12.2022', '30', '30 th round', 'BUD', 'Thursday', 'Away', '5:2', '11', '39'), ('26.12.2022', '31', '31 th round', 'KLA', 'Monday', 'Home', '2:3', '11', '39'), ('28.12.2022', '32', '32 th round', 'KVA', 'Wednesday', 'Away', '0:3', '11', '39'), ('30.12.2022', '33', '33 th round', 'HRK', 'Friday', 'Home', '2:3pp', '11', '40'), ('03.1.2023', '34', '34 th round', 'BRN', 'Tuesday', 'Away', '1:3', '12', '40'), ('06.1.2023', '35', '35 th round', 'TRI', 'Friday', 'Away', '2:3pp', '11', '41'), ('08.1.2023', '36', '36 th round', 'MBO', 'Sunday', 'Home', '4:3', '10', '44'), ('13.1.2023', '37', '37 th round', 'PLZ', 'Friday', 'Away', '1:4', '11', '44'), ('15.1.2023', '38', '38 th round', 'PAR', 'Sunday', 'Home', '1:2', '11', '44'), ('20.1.2023', '39', '39 th round', 'OLO', 'Friday', 'Away', '8:1', '10', '47'), ('22.1.2023', '40', '40 th round', 'VIT', 'Sunday', 'Away', '3:2sn', '11', '49'), ('25.1.2023', '41', '41 th round', 'SPA', 'Wednesday', 'Away', '2:3', '12', '49'), ('27.1.2023', '42', '42 th round', 'LIB', 'Friday', 'Away', '1:5', '13', '49'), ('29.1.2023', '43', '43 th round', 'BUD', 'Sunday', 'Home', '1:0sn', '12', '51'), ('03.2.2023', '44', '44 th round', 'KLA', 'Friday', 'Away', '2:5', '12', '51'), ('05.2.2023', '45', '45 th round', 'KVA', 'Sunday', 'Home', '1:2pp', '12', '52'), ('15.2.2023', '46', '46 th round', 'HRK', 'Wednesday', 'Away', '0:3', '12', '52'), ('17.2.2023', '47', '47 th round', 'BRN', 'Friday', 'Home', '3:2sn', '12', '54'), ('19.2.2023', '48', '48 th round', 'TRI', 'Sunday', 'Home', '4:3pp', '12', '56'), ('24.2.2023', '49', '49 th round', 'MBO', 'Friday', 'Away', '2:1', '12', '59'), ('26.2.2023', '50', '50 th round', 'PLZ', 'Sunday', 'Home', '2:1', '11', '62'), ('03.3.2023', '51', '51 th round', 'PAR', 'Friday', 'Away', '3:2sn', '12', '64'), ('05.3.2023', '52', '52 th round', 'OLO', 'Sunday', 'Home', '5:1', '11', '67'), ('08.3.2023', '53', 'Playoff 1st round ', 'TRI', 'Wednesday', 'Away', '1:3', '', ''), ('09.3.2023', '54', 'Playoff 1st round ', 'TRI', 'Thursday', 'Away', '4:5pp', '', ''), ('11.3.2023', '55', 'Playoff 1st round ', 'TRI', 'Saturday', 'Home', '2:4', '', ''), ('15.9.2023', '1', '1st round', 'PAR', 'Friday', 'Away', '1:5', '13', '0'), ('17.9.2023', '2', '2nd round', 'PLZ', 'Sunday', 'Home', '4:2', '10', '3'), ('22.9.2023', '3', '3rd round', 'BRN', 'Friday', 'Away', '3:2', '7', '6'), ('24.9.2023', '4', '4 th round', 'LIB', 'Sunday', 'Home', '4:1', '3', '9'), ('27.9.2023', '5', '5 th round', 'HRK', 'Wednesday', 'Away', '3:2sn', '3', '11'), ('29.9.2023', '6', '6 th round', 'MBO', 'Friday', 'Home', '5:2', '3', '14'), ('01.10.2023', '7', '7 th round', 'TRI', 'Sunday', 'Home', '6:4', '2', '17'), ('06.10.2023', '8', '8 th round', 'KVA', 'Friday', 'Away', '4:1', '2', '20'), ('08.10.2023', '9', '9 th round', 'BUD', 'Sunday', 'Home', '4:3', '2', '23'), ('13.10.2023', '10', '10 th round', 'SPA', 'Friday', 'Home', '4:2', '2', '26'), ('15.10.2023', '11', '11 th round', 'KLA', 'Sunday', 'Home', '5:4pp', '2', '28'), ('20.10.2023', '12', '12 th round', 'VIT', 'Friday', 'Home', '6:3', '2', '31'), ('22.10.2023', '13', '13 th round', 'OLO', 'Sunday', 'Away', '1:2', '2', '31'), ('27.10.2023', '14', '14 th round', 'PAR', 'Friday', 'Home', '4:1', '1', '34'), ('29.10.2023', '15', '15 th round', 'PLZ', 'Sunday', 'Away', '2:5', '2', '34'), ('31.10.2023', '16', '16 th round', 'BRN', 'Tuesday', 'Home', '6:3', '2', '37'), ('03.11.2023', '17', '17 th round', 'LIB', 'Friday', 'Away', '2:5', '2', '37'), ('05.11.2023', '18', '18 th round', 'HRK', 'Sunday', 'Home', '0:2', '2', '37'), ('17.11.2023', '19', '19 th round', 'MBO', 'Friday', 'Away', '0:5', '3', '37'), ('19.11.2023', '20', '20 th round', 'TRI', 'Sunday', 'Away', '3:2pp', '3', '39'), ('24.11.2023', '21', '21 th round', 'KVA', 'Friday', 'Home', '6:4', '3', '42'), ('26.11.2023', '22', '22 th round', 'BUD', 'Sunday', 'Away', '0:1', '4', '42'), ('28.11.2023', '23', '23 th round', 'SPA', 'Tuesday', 'Away', '1:3', '4', '42'), ('01.12.2023', '24', '24 th round', 'KLA', 'Friday', 'Away', '0:3', '4', '42'), ('03.12.2023', '25', '25 th round', 'VIT', 'Sunday', 'Away', '2:6', '4', '42'), ('08.12.2023', '26', '26 th round', 'OLO', 'Friday', 'Home', '1:2pp', '5', '43'), ('10.12.2023', '27', '27 th round', 'PAR', 'Sunday', 'Away', '4:2', '5', '46'), ('20.12.2023', '28', '28 th round', 'PLZ', 'Wednesday', 'Home', '2:3sn', '5', '47'), ('26.12.2023', '29', '30 th round', 'LIB', 'Tuesday', 'Home', '6:3', '4', '50'), ('28.12.2023', '30', '31 th round', 'HRK', 'Thursday', 'Away', '5:1', '4', '53'), ('30.12.2023', '31', '32 th round', 'MBO', 'Saturday', 'Home', '6:1', '4', '56'), ('03.1.2024', '32', '47 th round', 'KVA', 'Wednesday', 'Home', '1:6', '4', '56'), ('05.1.2024', '33', '33 th round', 'TRI', 'Friday', 'Home', '5:2', '4', '59'), ('07.1.2024', '34', '34 th round', 'KVA', 'Sunday', 'Away', '1:2pp', '4', '60'), ('12.1.2024', '35', '35 th round', 'BUD', 'Friday', 'Home', '4:3pp', '4', '62'), ('14.1.2024', '36', '36 th round', 'SPA', 'Sunday', 'Away', '3:6', '4', '62')</v>
      </c>
    </row>
    <row r="384" spans="1:23" x14ac:dyDescent="0.25">
      <c r="A384" s="2">
        <v>45308</v>
      </c>
      <c r="B384" s="1">
        <v>37</v>
      </c>
      <c r="C384" s="1" t="s">
        <v>117</v>
      </c>
      <c r="D384" s="1" t="s">
        <v>11</v>
      </c>
      <c r="E384" s="1" t="s">
        <v>60</v>
      </c>
      <c r="F384" s="1" t="s">
        <v>155</v>
      </c>
      <c r="G384" s="11" t="s">
        <v>168</v>
      </c>
      <c r="H384" s="1">
        <v>4</v>
      </c>
      <c r="I384" s="1">
        <v>62</v>
      </c>
      <c r="L384" t="s">
        <v>154</v>
      </c>
      <c r="M384" t="str">
        <f>CONCATENATE("(","'",TEXT(A384,"dd.m.rrrrr"),"'",L384,"'",B384,"'",L384,"'",C384,"'",L384,"'",D384,"'",L384,"'",E384,"'",L384,"'",F384,"'",L384,"'",G384,"'",L384,"'",H384,"'",L384,"'",I384,"'",")")</f>
        <v>('17.1.2024', '37', '29 th round', 'BRN', 'Wednesday', 'Away', '1:3', '4', '62')</v>
      </c>
      <c r="W384" t="str">
        <f t="shared" si="5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'17'), ('04.11.2022', '18', '18 th round', 'KLA', 'Friday', 'Away', '2:3pp', '14', '18'), ('06.11.2022', '19', '19 th round', 'KVA', 'Sunday', 'Home', '5:3', '12', '21'), ('18.11.2022', '20', '20 th round', 'HRK', 'Friday', 'Away', '0:3', '13', '21'), ('20.11.2022', '21', '21 th round', 'BRN', 'Sunday', 'Home', '5:1', '11', '24'), ('25.11.2022', '22', '22 th round', 'TRI', 'Friday', 'Home', '1:2pp', '12', '25'), ('27.11.2022', '23', '23 th round', 'MBO', 'Sunday', 'Away', '4:6', '12', '25'), ('29.11.2022', '24', '24 th round', 'PLZ', 'Tuesday', 'Home', '2:4', '12', '25'), ('04.12.2022', '25', '26 th round', 'OLO', 'Sunday', 'Home', '5:3', '12', '28'), ('06.12.2022', '26', '25 th round', 'PAR', 'Tuesday', 'Away', '0:1', '12', '28'), ('09.12.2022', '27', '27 th round', 'VIT', 'Friday', 'Home', '5:3', '12', '31'), ('11.12.2022', '28', '28 th round', 'SPA', 'Sunday', 'Home', '5:2', '12', '34'), ('20.12.2022', '29', '29 th round', 'LIB', 'Tuesday', 'Home', '3:2sn', '11', '36'), ('22.12.2022', '30', '30 th round', 'BUD', 'Thursday', 'Away', '5:2', '11', '39'), ('26.12.2022', '31', '31 th round', 'KLA', 'Monday', 'Home', '2:3', '11', '39'), ('28.12.2022', '32', '32 th round', 'KVA', 'Wednesday', 'Away', '0:3', '11', '39'), ('30.12.2022', '33', '33 th round', 'HRK', 'Friday', 'Home', '2:3pp', '11', '40'), ('03.1.2023', '34', '34 th round', 'BRN', 'Tuesday', 'Away', '1:3', '12', '40'), ('06.1.2023', '35', '35 th round', 'TRI', 'Friday', 'Away', '2:3pp', '11', '41'), ('08.1.2023', '36', '36 th round', 'MBO', 'Sunday', 'Home', '4:3', '10', '44'), ('13.1.2023', '37', '37 th round', 'PLZ', 'Friday', 'Away', '1:4', '11', '44'), ('15.1.2023', '38', '38 th round', 'PAR', 'Sunday', 'Home', '1:2', '11', '44'), ('20.1.2023', '39', '39 th round', 'OLO', 'Friday', 'Away', '8:1', '10', '47'), ('22.1.2023', '40', '40 th round', 'VIT', 'Sunday', 'Away', '3:2sn', '11', '49'), ('25.1.2023', '41', '41 th round', 'SPA', 'Wednesday', 'Away', '2:3', '12', '49'), ('27.1.2023', '42', '42 th round', 'LIB', 'Friday', 'Away', '1:5', '13', '49'), ('29.1.2023', '43', '43 th round', 'BUD', 'Sunday', 'Home', '1:0sn', '12', '51'), ('03.2.2023', '44', '44 th round', 'KLA', 'Friday', 'Away', '2:5', '12', '51'), ('05.2.2023', '45', '45 th round', 'KVA', 'Sunday', 'Home', '1:2pp', '12', '52'), ('15.2.2023', '46', '46 th round', 'HRK', 'Wednesday', 'Away', '0:3', '12', '52'), ('17.2.2023', '47', '47 th round', 'BRN', 'Friday', 'Home', '3:2sn', '12', '54'), ('19.2.2023', '48', '48 th round', 'TRI', 'Sunday', 'Home', '4:3pp', '12', '56'), ('24.2.2023', '49', '49 th round', 'MBO', 'Friday', 'Away', '2:1', '12', '59'), ('26.2.2023', '50', '50 th round', 'PLZ', 'Sunday', 'Home', '2:1', '11', '62'), ('03.3.2023', '51', '51 th round', 'PAR', 'Friday', 'Away', '3:2sn', '12', '64'), ('05.3.2023', '52', '52 th round', 'OLO', 'Sunday', 'Home', '5:1', '11', '67'), ('08.3.2023', '53', 'Playoff 1st round ', 'TRI', 'Wednesday', 'Away', '1:3', '', ''), ('09.3.2023', '54', 'Playoff 1st round ', 'TRI', 'Thursday', 'Away', '4:5pp', '', ''), ('11.3.2023', '55', 'Playoff 1st round ', 'TRI', 'Saturday', 'Home', '2:4', '', ''), ('15.9.2023', '1', '1st round', 'PAR', 'Friday', 'Away', '1:5', '13', '0'), ('17.9.2023', '2', '2nd round', 'PLZ', 'Sunday', 'Home', '4:2', '10', '3'), ('22.9.2023', '3', '3rd round', 'BRN', 'Friday', 'Away', '3:2', '7', '6'), ('24.9.2023', '4', '4 th round', 'LIB', 'Sunday', 'Home', '4:1', '3', '9'), ('27.9.2023', '5', '5 th round', 'HRK', 'Wednesday', 'Away', '3:2sn', '3', '11'), ('29.9.2023', '6', '6 th round', 'MBO', 'Friday', 'Home', '5:2', '3', '14'), ('01.10.2023', '7', '7 th round', 'TRI', 'Sunday', 'Home', '6:4', '2', '17'), ('06.10.2023', '8', '8 th round', 'KVA', 'Friday', 'Away', '4:1', '2', '20'), ('08.10.2023', '9', '9 th round', 'BUD', 'Sunday', 'Home', '4:3', '2', '23'), ('13.10.2023', '10', '10 th round', 'SPA', 'Friday', 'Home', '4:2', '2', '26'), ('15.10.2023', '11', '11 th round', 'KLA', 'Sunday', 'Home', '5:4pp', '2', '28'), ('20.10.2023', '12', '12 th round', 'VIT', 'Friday', 'Home', '6:3', '2', '31'), ('22.10.2023', '13', '13 th round', 'OLO', 'Sunday', 'Away', '1:2', '2', '31'), ('27.10.2023', '14', '14 th round', 'PAR', 'Friday', 'Home', '4:1', '1', '34'), ('29.10.2023', '15', '15 th round', 'PLZ', 'Sunday', 'Away', '2:5', '2', '34'), ('31.10.2023', '16', '16 th round', 'BRN', 'Tuesday', 'Home', '6:3', '2', '37'), ('03.11.2023', '17', '17 th round', 'LIB', 'Friday', 'Away', '2:5', '2', '37'), ('05.11.2023', '18', '18 th round', 'HRK', 'Sunday', 'Home', '0:2', '2', '37'), ('17.11.2023', '19', '19 th round', 'MBO', 'Friday', 'Away', '0:5', '3', '37'), ('19.11.2023', '20', '20 th round', 'TRI', 'Sunday', 'Away', '3:2pp', '3', '39'), ('24.11.2023', '21', '21 th round', 'KVA', 'Friday', 'Home', '6:4', '3', '42'), ('26.11.2023', '22', '22 th round', 'BUD', 'Sunday', 'Away', '0:1', '4', '42'), ('28.11.2023', '23', '23 th round', 'SPA', 'Tuesday', 'Away', '1:3', '4', '42'), ('01.12.2023', '24', '24 th round', 'KLA', 'Friday', 'Away', '0:3', '4', '42'), ('03.12.2023', '25', '25 th round', 'VIT', 'Sunday', 'Away', '2:6', '4', '42'), ('08.12.2023', '26', '26 th round', 'OLO', 'Friday', 'Home', '1:2pp', '5', '43'), ('10.12.2023', '27', '27 th round', 'PAR', 'Sunday', 'Away', '4:2', '5', '46'), ('20.12.2023', '28', '28 th round', 'PLZ', 'Wednesday', 'Home', '2:3sn', '5', '47'), ('26.12.2023', '29', '30 th round', 'LIB', 'Tuesday', 'Home', '6:3', '4', '50'), ('28.12.2023', '30', '31 th round', 'HRK', 'Thursday', 'Away', '5:1', '4', '53'), ('30.12.2023', '31', '32 th round', 'MBO', 'Saturday', 'Home', '6:1', '4', '56'), ('03.1.2024', '32', '47 th round', 'KVA', 'Wednesday', 'Home', '1:6', '4', '56'), ('05.1.2024', '33', '33 th round', 'TRI', 'Friday', 'Home', '5:2', '4', '59'), ('07.1.2024', '34', '34 th round', 'KVA', 'Sunday', 'Away', '1:2pp', '4', '60'), ('12.1.2024', '35', '35 th round', 'BUD', 'Friday', 'Home', '4:3pp', '4', '62'), ('14.1.2024', '36', '36 th round', 'SPA', 'Sunday', 'Away', '3:6', '4', '62'), ('17.1.2024', '37', '29 th round', 'BRN', 'Wednesday', 'Away', '1:3', '4', '62')</v>
      </c>
    </row>
    <row r="385" spans="1:23" x14ac:dyDescent="0.25">
      <c r="A385" s="2">
        <v>45310</v>
      </c>
      <c r="B385" s="1">
        <v>38</v>
      </c>
      <c r="C385" s="1" t="s">
        <v>125</v>
      </c>
      <c r="D385" s="1" t="s">
        <v>28</v>
      </c>
      <c r="E385" s="1" t="s">
        <v>55</v>
      </c>
      <c r="F385" s="1" t="s">
        <v>157</v>
      </c>
      <c r="G385" s="11" t="s">
        <v>189</v>
      </c>
      <c r="H385" s="1">
        <v>4</v>
      </c>
      <c r="I385" s="1">
        <v>65</v>
      </c>
      <c r="L385" t="s">
        <v>154</v>
      </c>
      <c r="M385" t="str">
        <f>CONCATENATE("(","'",TEXT(A385,"dd.m.rrrrr"),"'",L385,"'",B385,"'",L385,"'",C385,"'",L385,"'",D385,"'",L385,"'",E385,"'",L385,"'",F385,"'",L385,"'",G385,"'",L385,"'",H385,"'",L385,"'",I385,"'",")")</f>
        <v>('19.1.2024', '38', '37 th round', 'KLA', 'Friday', 'Home', '4:3', '4', '65')</v>
      </c>
      <c r="W385" t="str">
        <f t="shared" si="5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'17'), ('04.11.2022', '18', '18 th round', 'KLA', 'Friday', 'Away', '2:3pp', '14', '18'), ('06.11.2022', '19', '19 th round', 'KVA', 'Sunday', 'Home', '5:3', '12', '21'), ('18.11.2022', '20', '20 th round', 'HRK', 'Friday', 'Away', '0:3', '13', '21'), ('20.11.2022', '21', '21 th round', 'BRN', 'Sunday', 'Home', '5:1', '11', '24'), ('25.11.2022', '22', '22 th round', 'TRI', 'Friday', 'Home', '1:2pp', '12', '25'), ('27.11.2022', '23', '23 th round', 'MBO', 'Sunday', 'Away', '4:6', '12', '25'), ('29.11.2022', '24', '24 th round', 'PLZ', 'Tuesday', 'Home', '2:4', '12', '25'), ('04.12.2022', '25', '26 th round', 'OLO', 'Sunday', 'Home', '5:3', '12', '28'), ('06.12.2022', '26', '25 th round', 'PAR', 'Tuesday', 'Away', '0:1', '12', '28'), ('09.12.2022', '27', '27 th round', 'VIT', 'Friday', 'Home', '5:3', '12', '31'), ('11.12.2022', '28', '28 th round', 'SPA', 'Sunday', 'Home', '5:2', '12', '34'), ('20.12.2022', '29', '29 th round', 'LIB', 'Tuesday', 'Home', '3:2sn', '11', '36'), ('22.12.2022', '30', '30 th round', 'BUD', 'Thursday', 'Away', '5:2', '11', '39'), ('26.12.2022', '31', '31 th round', 'KLA', 'Monday', 'Home', '2:3', '11', '39'), ('28.12.2022', '32', '32 th round', 'KVA', 'Wednesday', 'Away', '0:3', '11', '39'), ('30.12.2022', '33', '33 th round', 'HRK', 'Friday', 'Home', '2:3pp', '11', '40'), ('03.1.2023', '34', '34 th round', 'BRN', 'Tuesday', 'Away', '1:3', '12', '40'), ('06.1.2023', '35', '35 th round', 'TRI', 'Friday', 'Away', '2:3pp', '11', '41'), ('08.1.2023', '36', '36 th round', 'MBO', 'Sunday', 'Home', '4:3', '10', '44'), ('13.1.2023', '37', '37 th round', 'PLZ', 'Friday', 'Away', '1:4', '11', '44'), ('15.1.2023', '38', '38 th round', 'PAR', 'Sunday', 'Home', '1:2', '11', '44'), ('20.1.2023', '39', '39 th round', 'OLO', 'Friday', 'Away', '8:1', '10', '47'), ('22.1.2023', '40', '40 th round', 'VIT', 'Sunday', 'Away', '3:2sn', '11', '49'), ('25.1.2023', '41', '41 th round', 'SPA', 'Wednesday', 'Away', '2:3', '12', '49'), ('27.1.2023', '42', '42 th round', 'LIB', 'Friday', 'Away', '1:5', '13', '49'), ('29.1.2023', '43', '43 th round', 'BUD', 'Sunday', 'Home', '1:0sn', '12', '51'), ('03.2.2023', '44', '44 th round', 'KLA', 'Friday', 'Away', '2:5', '12', '51'), ('05.2.2023', '45', '45 th round', 'KVA', 'Sunday', 'Home', '1:2pp', '12', '52'), ('15.2.2023', '46', '46 th round', 'HRK', 'Wednesday', 'Away', '0:3', '12', '52'), ('17.2.2023', '47', '47 th round', 'BRN', 'Friday', 'Home', '3:2sn', '12', '54'), ('19.2.2023', '48', '48 th round', 'TRI', 'Sunday', 'Home', '4:3pp', '12', '56'), ('24.2.2023', '49', '49 th round', 'MBO', 'Friday', 'Away', '2:1', '12', '59'), ('26.2.2023', '50', '50 th round', 'PLZ', 'Sunday', 'Home', '2:1', '11', '62'), ('03.3.2023', '51', '51 th round', 'PAR', 'Friday', 'Away', '3:2sn', '12', '64'), ('05.3.2023', '52', '52 th round', 'OLO', 'Sunday', 'Home', '5:1', '11', '67'), ('08.3.2023', '53', 'Playoff 1st round ', 'TRI', 'Wednesday', 'Away', '1:3', '', ''), ('09.3.2023', '54', 'Playoff 1st round ', 'TRI', 'Thursday', 'Away', '4:5pp', '', ''), ('11.3.2023', '55', 'Playoff 1st round ', 'TRI', 'Saturday', 'Home', '2:4', '', ''), ('15.9.2023', '1', '1st round', 'PAR', 'Friday', 'Away', '1:5', '13', '0'), ('17.9.2023', '2', '2nd round', 'PLZ', 'Sunday', 'Home', '4:2', '10', '3'), ('22.9.2023', '3', '3rd round', 'BRN', 'Friday', 'Away', '3:2', '7', '6'), ('24.9.2023', '4', '4 th round', 'LIB', 'Sunday', 'Home', '4:1', '3', '9'), ('27.9.2023', '5', '5 th round', 'HRK', 'Wednesday', 'Away', '3:2sn', '3', '11'), ('29.9.2023', '6', '6 th round', 'MBO', 'Friday', 'Home', '5:2', '3', '14'), ('01.10.2023', '7', '7 th round', 'TRI', 'Sunday', 'Home', '6:4', '2', '17'), ('06.10.2023', '8', '8 th round', 'KVA', 'Friday', 'Away', '4:1', '2', '20'), ('08.10.2023', '9', '9 th round', 'BUD', 'Sunday', 'Home', '4:3', '2', '23'), ('13.10.2023', '10', '10 th round', 'SPA', 'Friday', 'Home', '4:2', '2', '26'), ('15.10.2023', '11', '11 th round', 'KLA', 'Sunday', 'Home', '5:4pp', '2', '28'), ('20.10.2023', '12', '12 th round', 'VIT', 'Friday', 'Home', '6:3', '2', '31'), ('22.10.2023', '13', '13 th round', 'OLO', 'Sunday', 'Away', '1:2', '2', '31'), ('27.10.2023', '14', '14 th round', 'PAR', 'Friday', 'Home', '4:1', '1', '34'), ('29.10.2023', '15', '15 th round', 'PLZ', 'Sunday', 'Away', '2:5', '2', '34'), ('31.10.2023', '16', '16 th round', 'BRN', 'Tuesday', 'Home', '6:3', '2', '37'), ('03.11.2023', '17', '17 th round', 'LIB', 'Friday', 'Away', '2:5', '2', '37'), ('05.11.2023', '18', '18 th round', 'HRK', 'Sunday', 'Home', '0:2', '2', '37'), ('17.11.2023', '19', '19 th round', 'MBO', 'Friday', 'Away', '0:5', '3', '37'), ('19.11.2023', '20', '20 th round', 'TRI', 'Sunday', 'Away', '3:2pp', '3', '39'), ('24.11.2023', '21', '21 th round', 'KVA', 'Friday', 'Home', '6:4', '3', '42'), ('26.11.2023', '22', '22 th round', 'BUD', 'Sunday', 'Away', '0:1', '4', '42'), ('28.11.2023', '23', '23 th round', 'SPA', 'Tuesday', 'Away', '1:3', '4', '42'), ('01.12.2023', '24', '24 th round', 'KLA', 'Friday', 'Away', '0:3', '4', '42'), ('03.12.2023', '25', '25 th round', 'VIT', 'Sunday', 'Away', '2:6', '4', '42'), ('08.12.2023', '26', '26 th round', 'OLO', 'Friday', 'Home', '1:2pp', '5', '43'), ('10.12.2023', '27', '27 th round', 'PAR', 'Sunday', 'Away', '4:2', '5', '46'), ('20.12.2023', '28', '28 th round', 'PLZ', 'Wednesday', 'Home', '2:3sn', '5', '47'), ('26.12.2023', '29', '30 th round', 'LIB', 'Tuesday', 'Home', '6:3', '4', '50'), ('28.12.2023', '30', '31 th round', 'HRK', 'Thursday', 'Away', '5:1', '4', '53'), ('30.12.2023', '31', '32 th round', 'MBO', 'Saturday', 'Home', '6:1', '4', '56'), ('03.1.2024', '32', '47 th round', 'KVA', 'Wednesday', 'Home', '1:6', '4', '56'), ('05.1.2024', '33', '33 th round', 'TRI', 'Friday', 'Home', '5:2', '4', '59'), ('07.1.2024', '34', '34 th round', 'KVA', 'Sunday', 'Away', '1:2pp', '4', '60'), ('12.1.2024', '35', '35 th round', 'BUD', 'Friday', 'Home', '4:3pp', '4', '62'), ('14.1.2024', '36', '36 th round', 'SPA', 'Sunday', 'Away', '3:6', '4', '62'), ('17.1.2024', '37', '29 th round', 'BRN', 'Wednesday', 'Away', '1:3', '4', '62'), ('19.1.2024', '38', '37 th round', 'KLA', 'Friday', 'Home', '4:3', '4', '65')</v>
      </c>
    </row>
    <row r="386" spans="1:23" x14ac:dyDescent="0.25">
      <c r="A386" s="2">
        <v>45312</v>
      </c>
      <c r="B386" s="1">
        <v>39</v>
      </c>
      <c r="C386" s="1" t="s">
        <v>126</v>
      </c>
      <c r="D386" s="1" t="s">
        <v>10</v>
      </c>
      <c r="E386" s="1" t="s">
        <v>57</v>
      </c>
      <c r="F386" s="1" t="s">
        <v>155</v>
      </c>
      <c r="G386" s="11" t="s">
        <v>160</v>
      </c>
      <c r="H386" s="4">
        <v>4</v>
      </c>
      <c r="I386" s="4">
        <v>65</v>
      </c>
      <c r="L386" t="s">
        <v>154</v>
      </c>
      <c r="M386" t="str">
        <f>CONCATENATE("(","'",TEXT(A386,"dd.m.rrrrr"),"'",L386,"'",B386,"'",L386,"'",C386,"'",L386,"'",D386,"'",L386,"'",E386,"'",L386,"'",F386,"'",L386,"'",G386,"'",L386,"'",H386,"'",L386,"'",I386,"'",")")</f>
        <v>('21.1.2024', '39', '38 th round', 'VIT', 'Sunday', 'Away', '1:5', '4', '65')</v>
      </c>
      <c r="W386" t="str">
        <f t="shared" si="5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'17'), ('04.11.2022', '18', '18 th round', 'KLA', 'Friday', 'Away', '2:3pp', '14', '18'), ('06.11.2022', '19', '19 th round', 'KVA', 'Sunday', 'Home', '5:3', '12', '21'), ('18.11.2022', '20', '20 th round', 'HRK', 'Friday', 'Away', '0:3', '13', '21'), ('20.11.2022', '21', '21 th round', 'BRN', 'Sunday', 'Home', '5:1', '11', '24'), ('25.11.2022', '22', '22 th round', 'TRI', 'Friday', 'Home', '1:2pp', '12', '25'), ('27.11.2022', '23', '23 th round', 'MBO', 'Sunday', 'Away', '4:6', '12', '25'), ('29.11.2022', '24', '24 th round', 'PLZ', 'Tuesday', 'Home', '2:4', '12', '25'), ('04.12.2022', '25', '26 th round', 'OLO', 'Sunday', 'Home', '5:3', '12', '28'), ('06.12.2022', '26', '25 th round', 'PAR', 'Tuesday', 'Away', '0:1', '12', '28'), ('09.12.2022', '27', '27 th round', 'VIT', 'Friday', 'Home', '5:3', '12', '31'), ('11.12.2022', '28', '28 th round', 'SPA', 'Sunday', 'Home', '5:2', '12', '34'), ('20.12.2022', '29', '29 th round', 'LIB', 'Tuesday', 'Home', '3:2sn', '11', '36'), ('22.12.2022', '30', '30 th round', 'BUD', 'Thursday', 'Away', '5:2', '11', '39'), ('26.12.2022', '31', '31 th round', 'KLA', 'Monday', 'Home', '2:3', '11', '39'), ('28.12.2022', '32', '32 th round', 'KVA', 'Wednesday', 'Away', '0:3', '11', '39'), ('30.12.2022', '33', '33 th round', 'HRK', 'Friday', 'Home', '2:3pp', '11', '40'), ('03.1.2023', '34', '34 th round', 'BRN', 'Tuesday', 'Away', '1:3', '12', '40'), ('06.1.2023', '35', '35 th round', 'TRI', 'Friday', 'Away', '2:3pp', '11', '41'), ('08.1.2023', '36', '36 th round', 'MBO', 'Sunday', 'Home', '4:3', '10', '44'), ('13.1.2023', '37', '37 th round', 'PLZ', 'Friday', 'Away', '1:4', '11', '44'), ('15.1.2023', '38', '38 th round', 'PAR', 'Sunday', 'Home', '1:2', '11', '44'), ('20.1.2023', '39', '39 th round', 'OLO', 'Friday', 'Away', '8:1', '10', '47'), ('22.1.2023', '40', '40 th round', 'VIT', 'Sunday', 'Away', '3:2sn', '11', '49'), ('25.1.2023', '41', '41 th round', 'SPA', 'Wednesday', 'Away', '2:3', '12', '49'), ('27.1.2023', '42', '42 th round', 'LIB', 'Friday', 'Away', '1:5', '13', '49'), ('29.1.2023', '43', '43 th round', 'BUD', 'Sunday', 'Home', '1:0sn', '12', '51'), ('03.2.2023', '44', '44 th round', 'KLA', 'Friday', 'Away', '2:5', '12', '51'), ('05.2.2023', '45', '45 th round', 'KVA', 'Sunday', 'Home', '1:2pp', '12', '52'), ('15.2.2023', '46', '46 th round', 'HRK', 'Wednesday', 'Away', '0:3', '12', '52'), ('17.2.2023', '47', '47 th round', 'BRN', 'Friday', 'Home', '3:2sn', '12', '54'), ('19.2.2023', '48', '48 th round', 'TRI', 'Sunday', 'Home', '4:3pp', '12', '56'), ('24.2.2023', '49', '49 th round', 'MBO', 'Friday', 'Away', '2:1', '12', '59'), ('26.2.2023', '50', '50 th round', 'PLZ', 'Sunday', 'Home', '2:1', '11', '62'), ('03.3.2023', '51', '51 th round', 'PAR', 'Friday', 'Away', '3:2sn', '12', '64'), ('05.3.2023', '52', '52 th round', 'OLO', 'Sunday', 'Home', '5:1', '11', '67'), ('08.3.2023', '53', 'Playoff 1st round ', 'TRI', 'Wednesday', 'Away', '1:3', '', ''), ('09.3.2023', '54', 'Playoff 1st round ', 'TRI', 'Thursday', 'Away', '4:5pp', '', ''), ('11.3.2023', '55', 'Playoff 1st round ', 'TRI', 'Saturday', 'Home', '2:4', '', ''), ('15.9.2023', '1', '1st round', 'PAR', 'Friday', 'Away', '1:5', '13', '0'), ('17.9.2023', '2', '2nd round', 'PLZ', 'Sunday', 'Home', '4:2', '10', '3'), ('22.9.2023', '3', '3rd round', 'BRN', 'Friday', 'Away', '3:2', '7', '6'), ('24.9.2023', '4', '4 th round', 'LIB', 'Sunday', 'Home', '4:1', '3', '9'), ('27.9.2023', '5', '5 th round', 'HRK', 'Wednesday', 'Away', '3:2sn', '3', '11'), ('29.9.2023', '6', '6 th round', 'MBO', 'Friday', 'Home', '5:2', '3', '14'), ('01.10.2023', '7', '7 th round', 'TRI', 'Sunday', 'Home', '6:4', '2', '17'), ('06.10.2023', '8', '8 th round', 'KVA', 'Friday', 'Away', '4:1', '2', '20'), ('08.10.2023', '9', '9 th round', 'BUD', 'Sunday', 'Home', '4:3', '2', '23'), ('13.10.2023', '10', '10 th round', 'SPA', 'Friday', 'Home', '4:2', '2', '26'), ('15.10.2023', '11', '11 th round', 'KLA', 'Sunday', 'Home', '5:4pp', '2', '28'), ('20.10.2023', '12', '12 th round', 'VIT', 'Friday', 'Home', '6:3', '2', '31'), ('22.10.2023', '13', '13 th round', 'OLO', 'Sunday', 'Away', '1:2', '2', '31'), ('27.10.2023', '14', '14 th round', 'PAR', 'Friday', 'Home', '4:1', '1', '34'), ('29.10.2023', '15', '15 th round', 'PLZ', 'Sunday', 'Away', '2:5', '2', '34'), ('31.10.2023', '16', '16 th round', 'BRN', 'Tuesday', 'Home', '6:3', '2', '37'), ('03.11.2023', '17', '17 th round', 'LIB', 'Friday', 'Away', '2:5', '2', '37'), ('05.11.2023', '18', '18 th round', 'HRK', 'Sunday', 'Home', '0:2', '2', '37'), ('17.11.2023', '19', '19 th round', 'MBO', 'Friday', 'Away', '0:5', '3', '37'), ('19.11.2023', '20', '20 th round', 'TRI', 'Sunday', 'Away', '3:2pp', '3', '39'), ('24.11.2023', '21', '21 th round', 'KVA', 'Friday', 'Home', '6:4', '3', '42'), ('26.11.2023', '22', '22 th round', 'BUD', 'Sunday', 'Away', '0:1', '4', '42'), ('28.11.2023', '23', '23 th round', 'SPA', 'Tuesday', 'Away', '1:3', '4', '42'), ('01.12.2023', '24', '24 th round', 'KLA', 'Friday', 'Away', '0:3', '4', '42'), ('03.12.2023', '25', '25 th round', 'VIT', 'Sunday', 'Away', '2:6', '4', '42'), ('08.12.2023', '26', '26 th round', 'OLO', 'Friday', 'Home', '1:2pp', '5', '43'), ('10.12.2023', '27', '27 th round', 'PAR', 'Sunday', 'Away', '4:2', '5', '46'), ('20.12.2023', '28', '28 th round', 'PLZ', 'Wednesday', 'Home', '2:3sn', '5', '47'), ('26.12.2023', '29', '30 th round', 'LIB', 'Tuesday', 'Home', '6:3', '4', '50'), ('28.12.2023', '30', '31 th round', 'HRK', 'Thursday', 'Away', '5:1', '4', '53'), ('30.12.2023', '31', '32 th round', 'MBO', 'Saturday', 'Home', '6:1', '4', '56'), ('03.1.2024', '32', '47 th round', 'KVA', 'Wednesday', 'Home', '1:6', '4', '56'), ('05.1.2024', '33', '33 th round', 'TRI', 'Friday', 'Home', '5:2', '4', '59'), ('07.1.2024', '34', '34 th round', 'KVA', 'Sunday', 'Away', '1:2pp', '4', '60'), ('12.1.2024', '35', '35 th round', 'BUD', 'Friday', 'Home', '4:3pp', '4', '62'), ('14.1.2024', '36', '36 th round', 'SPA', 'Sunday', 'Away', '3:6', '4', '62'), ('17.1.2024', '37', '29 th round', 'BRN', 'Wednesday', 'Away', '1:3', '4', '62'), ('19.1.2024', '38', '37 th round', 'KLA', 'Friday', 'Home', '4:3', '4', '65'), ('21.1.2024', '39', '38 th round', 'VIT', 'Sunday', 'Away', '1:5', '4', '65')</v>
      </c>
    </row>
    <row r="387" spans="1:23" x14ac:dyDescent="0.25">
      <c r="A387" s="2">
        <v>45314</v>
      </c>
      <c r="B387" s="1">
        <v>40</v>
      </c>
      <c r="C387" s="1" t="s">
        <v>127</v>
      </c>
      <c r="D387" s="1" t="s">
        <v>4</v>
      </c>
      <c r="E387" s="1" t="s">
        <v>59</v>
      </c>
      <c r="F387" s="1" t="s">
        <v>157</v>
      </c>
      <c r="G387" s="11" t="s">
        <v>187</v>
      </c>
      <c r="H387" s="1">
        <v>4</v>
      </c>
      <c r="I387" s="1">
        <v>68</v>
      </c>
      <c r="L387" t="s">
        <v>154</v>
      </c>
      <c r="M387" t="str">
        <f>CONCATENATE("(","'",TEXT(A387,"dd.m.rrrrr"),"'",L387,"'",B387,"'",L387,"'",C387,"'",L387,"'",D387,"'",L387,"'",E387,"'",L387,"'",F387,"'",L387,"'",G387,"'",L387,"'",H387,"'",L387,"'",I387,"'",")")</f>
        <v>('23.1.2024', '40', '39 th round', 'OLO', 'Tuesday', 'Home', '4:1', '4', '68')</v>
      </c>
      <c r="W387" t="str">
        <f t="shared" si="5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'17'), ('04.11.2022', '18', '18 th round', 'KLA', 'Friday', 'Away', '2:3pp', '14', '18'), ('06.11.2022', '19', '19 th round', 'KVA', 'Sunday', 'Home', '5:3', '12', '21'), ('18.11.2022', '20', '20 th round', 'HRK', 'Friday', 'Away', '0:3', '13', '21'), ('20.11.2022', '21', '21 th round', 'BRN', 'Sunday', 'Home', '5:1', '11', '24'), ('25.11.2022', '22', '22 th round', 'TRI', 'Friday', 'Home', '1:2pp', '12', '25'), ('27.11.2022', '23', '23 th round', 'MBO', 'Sunday', 'Away', '4:6', '12', '25'), ('29.11.2022', '24', '24 th round', 'PLZ', 'Tuesday', 'Home', '2:4', '12', '25'), ('04.12.2022', '25', '26 th round', 'OLO', 'Sunday', 'Home', '5:3', '12', '28'), ('06.12.2022', '26', '25 th round', 'PAR', 'Tuesday', 'Away', '0:1', '12', '28'), ('09.12.2022', '27', '27 th round', 'VIT', 'Friday', 'Home', '5:3', '12', '31'), ('11.12.2022', '28', '28 th round', 'SPA', 'Sunday', 'Home', '5:2', '12', '34'), ('20.12.2022', '29', '29 th round', 'LIB', 'Tuesday', 'Home', '3:2sn', '11', '36'), ('22.12.2022', '30', '30 th round', 'BUD', 'Thursday', 'Away', '5:2', '11', '39'), ('26.12.2022', '31', '31 th round', 'KLA', 'Monday', 'Home', '2:3', '11', '39'), ('28.12.2022', '32', '32 th round', 'KVA', 'Wednesday', 'Away', '0:3', '11', '39'), ('30.12.2022', '33', '33 th round', 'HRK', 'Friday', 'Home', '2:3pp', '11', '40'), ('03.1.2023', '34', '34 th round', 'BRN', 'Tuesday', 'Away', '1:3', '12', '40'), ('06.1.2023', '35', '35 th round', 'TRI', 'Friday', 'Away', '2:3pp', '11', '41'), ('08.1.2023', '36', '36 th round', 'MBO', 'Sunday', 'Home', '4:3', '10', '44'), ('13.1.2023', '37', '37 th round', 'PLZ', 'Friday', 'Away', '1:4', '11', '44'), ('15.1.2023', '38', '38 th round', 'PAR', 'Sunday', 'Home', '1:2', '11', '44'), ('20.1.2023', '39', '39 th round', 'OLO', 'Friday', 'Away', '8:1', '10', '47'), ('22.1.2023', '40', '40 th round', 'VIT', 'Sunday', 'Away', '3:2sn', '11', '49'), ('25.1.2023', '41', '41 th round', 'SPA', 'Wednesday', 'Away', '2:3', '12', '49'), ('27.1.2023', '42', '42 th round', 'LIB', 'Friday', 'Away', '1:5', '13', '49'), ('29.1.2023', '43', '43 th round', 'BUD', 'Sunday', 'Home', '1:0sn', '12', '51'), ('03.2.2023', '44', '44 th round', 'KLA', 'Friday', 'Away', '2:5', '12', '51'), ('05.2.2023', '45', '45 th round', 'KVA', 'Sunday', 'Home', '1:2pp', '12', '52'), ('15.2.2023', '46', '46 th round', 'HRK', 'Wednesday', 'Away', '0:3', '12', '52'), ('17.2.2023', '47', '47 th round', 'BRN', 'Friday', 'Home', '3:2sn', '12', '54'), ('19.2.2023', '48', '48 th round', 'TRI', 'Sunday', 'Home', '4:3pp', '12', '56'), ('24.2.2023', '49', '49 th round', 'MBO', 'Friday', 'Away', '2:1', '12', '59'), ('26.2.2023', '50', '50 th round', 'PLZ', 'Sunday', 'Home', '2:1', '11', '62'), ('03.3.2023', '51', '51 th round', 'PAR', 'Friday', 'Away', '3:2sn', '12', '64'), ('05.3.2023', '52', '52 th round', 'OLO', 'Sunday', 'Home', '5:1', '11', '67'), ('08.3.2023', '53', 'Playoff 1st round ', 'TRI', 'Wednesday', 'Away', '1:3', '', ''), ('09.3.2023', '54', 'Playoff 1st round ', 'TRI', 'Thursday', 'Away', '4:5pp', '', ''), ('11.3.2023', '55', 'Playoff 1st round ', 'TRI', 'Saturday', 'Home', '2:4', '', ''), ('15.9.2023', '1', '1st round', 'PAR', 'Friday', 'Away', '1:5', '13', '0'), ('17.9.2023', '2', '2nd round', 'PLZ', 'Sunday', 'Home', '4:2', '10', '3'), ('22.9.2023', '3', '3rd round', 'BRN', 'Friday', 'Away', '3:2', '7', '6'), ('24.9.2023', '4', '4 th round', 'LIB', 'Sunday', 'Home', '4:1', '3', '9'), ('27.9.2023', '5', '5 th round', 'HRK', 'Wednesday', 'Away', '3:2sn', '3', '11'), ('29.9.2023', '6', '6 th round', 'MBO', 'Friday', 'Home', '5:2', '3', '14'), ('01.10.2023', '7', '7 th round', 'TRI', 'Sunday', 'Home', '6:4', '2', '17'), ('06.10.2023', '8', '8 th round', 'KVA', 'Friday', 'Away', '4:1', '2', '20'), ('08.10.2023', '9', '9 th round', 'BUD', 'Sunday', 'Home', '4:3', '2', '23'), ('13.10.2023', '10', '10 th round', 'SPA', 'Friday', 'Home', '4:2', '2', '26'), ('15.10.2023', '11', '11 th round', 'KLA', 'Sunday', 'Home', '5:4pp', '2', '28'), ('20.10.2023', '12', '12 th round', 'VIT', 'Friday', 'Home', '6:3', '2', '31'), ('22.10.2023', '13', '13 th round', 'OLO', 'Sunday', 'Away', '1:2', '2', '31'), ('27.10.2023', '14', '14 th round', 'PAR', 'Friday', 'Home', '4:1', '1', '34'), ('29.10.2023', '15', '15 th round', 'PLZ', 'Sunday', 'Away', '2:5', '2', '34'), ('31.10.2023', '16', '16 th round', 'BRN', 'Tuesday', 'Home', '6:3', '2', '37'), ('03.11.2023', '17', '17 th round', 'LIB', 'Friday', 'Away', '2:5', '2', '37'), ('05.11.2023', '18', '18 th round', 'HRK', 'Sunday', 'Home', '0:2', '2', '37'), ('17.11.2023', '19', '19 th round', 'MBO', 'Friday', 'Away', '0:5', '3', '37'), ('19.11.2023', '20', '20 th round', 'TRI', 'Sunday', 'Away', '3:2pp', '3', '39'), ('24.11.2023', '21', '21 th round', 'KVA', 'Friday', 'Home', '6:4', '3', '42'), ('26.11.2023', '22', '22 th round', 'BUD', 'Sunday', 'Away', '0:1', '4', '42'), ('28.11.2023', '23', '23 th round', 'SPA', 'Tuesday', 'Away', '1:3', '4', '42'), ('01.12.2023', '24', '24 th round', 'KLA', 'Friday', 'Away', '0:3', '4', '42'), ('03.12.2023', '25', '25 th round', 'VIT', 'Sunday', 'Away', '2:6', '4', '42'), ('08.12.2023', '26', '26 th round', 'OLO', 'Friday', 'Home', '1:2pp', '5', '43'), ('10.12.2023', '27', '27 th round', 'PAR', 'Sunday', 'Away', '4:2', '5', '46'), ('20.12.2023', '28', '28 th round', 'PLZ', 'Wednesday', 'Home', '2:3sn', '5', '47'), ('26.12.2023', '29', '30 th round', 'LIB', 'Tuesday', 'Home', '6:3', '4', '50'), ('28.12.2023', '30', '31 th round', 'HRK', 'Thursday', 'Away', '5:1', '4', '53'), ('30.12.2023', '31', '32 th round', 'MBO', 'Saturday', 'Home', '6:1', '4', '56'), ('03.1.2024', '32', '47 th round', 'KVA', 'Wednesday', 'Home', '1:6', '4', '56'), ('05.1.2024', '33', '33 th round', 'TRI', 'Friday', 'Home', '5:2', '4', '59'), ('07.1.2024', '34', '34 th round', 'KVA', 'Sunday', 'Away', '1:2pp', '4', '60'), ('12.1.2024', '35', '35 th round', 'BUD', 'Friday', 'Home', '4:3pp', '4', '62'), ('14.1.2024', '36', '36 th round', 'SPA', 'Sunday', 'Away', '3:6', '4', '62'), ('17.1.2024', '37', '29 th round', 'BRN', 'Wednesday', 'Away', '1:3', '4', '62'), ('19.1.2024', '38', '37 th round', 'KLA', 'Friday', 'Home', '4:3', '4', '65'), ('21.1.2024', '39', '38 th round', 'VIT', 'Sunday', 'Away', '1:5', '4', '65'), ('23.1.2024', '40', '39 th round', 'OLO', 'Tuesday', 'Home', '4:1', '4', '68')</v>
      </c>
    </row>
    <row r="388" spans="1:23" x14ac:dyDescent="0.25">
      <c r="A388" s="2">
        <v>45317</v>
      </c>
      <c r="B388" s="1">
        <v>41</v>
      </c>
      <c r="C388" s="1" t="s">
        <v>128</v>
      </c>
      <c r="D388" s="1" t="s">
        <v>9</v>
      </c>
      <c r="E388" s="1" t="s">
        <v>55</v>
      </c>
      <c r="F388" s="1" t="s">
        <v>157</v>
      </c>
      <c r="G388" s="11" t="s">
        <v>168</v>
      </c>
      <c r="H388" s="1">
        <v>4</v>
      </c>
      <c r="I388" s="1">
        <v>68</v>
      </c>
      <c r="L388" t="s">
        <v>154</v>
      </c>
      <c r="M388" t="str">
        <f>CONCATENATE("(","'",TEXT(A388,"dd.m.rrrrr"),"'",L388,"'",B388,"'",L388,"'",C388,"'",L388,"'",D388,"'",L388,"'",E388,"'",L388,"'",F388,"'",L388,"'",G388,"'",L388,"'",H388,"'",L388,"'",I388,"'",")")</f>
        <v>('26.1.2024', '41', '40 th round', 'PAR', 'Friday', 'Home', '1:3', '4', '68')</v>
      </c>
      <c r="W388" t="str">
        <f t="shared" si="5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'17'), ('04.11.2022', '18', '18 th round', 'KLA', 'Friday', 'Away', '2:3pp', '14', '18'), ('06.11.2022', '19', '19 th round', 'KVA', 'Sunday', 'Home', '5:3', '12', '21'), ('18.11.2022', '20', '20 th round', 'HRK', 'Friday', 'Away', '0:3', '13', '21'), ('20.11.2022', '21', '21 th round', 'BRN', 'Sunday', 'Home', '5:1', '11', '24'), ('25.11.2022', '22', '22 th round', 'TRI', 'Friday', 'Home', '1:2pp', '12', '25'), ('27.11.2022', '23', '23 th round', 'MBO', 'Sunday', 'Away', '4:6', '12', '25'), ('29.11.2022', '24', '24 th round', 'PLZ', 'Tuesday', 'Home', '2:4', '12', '25'), ('04.12.2022', '25', '26 th round', 'OLO', 'Sunday', 'Home', '5:3', '12', '28'), ('06.12.2022', '26', '25 th round', 'PAR', 'Tuesday', 'Away', '0:1', '12', '28'), ('09.12.2022', '27', '27 th round', 'VIT', 'Friday', 'Home', '5:3', '12', '31'), ('11.12.2022', '28', '28 th round', 'SPA', 'Sunday', 'Home', '5:2', '12', '34'), ('20.12.2022', '29', '29 th round', 'LIB', 'Tuesday', 'Home', '3:2sn', '11', '36'), ('22.12.2022', '30', '30 th round', 'BUD', 'Thursday', 'Away', '5:2', '11', '39'), ('26.12.2022', '31', '31 th round', 'KLA', 'Monday', 'Home', '2:3', '11', '39'), ('28.12.2022', '32', '32 th round', 'KVA', 'Wednesday', 'Away', '0:3', '11', '39'), ('30.12.2022', '33', '33 th round', 'HRK', 'Friday', 'Home', '2:3pp', '11', '40'), ('03.1.2023', '34', '34 th round', 'BRN', 'Tuesday', 'Away', '1:3', '12', '40'), ('06.1.2023', '35', '35 th round', 'TRI', 'Friday', 'Away', '2:3pp', '11', '41'), ('08.1.2023', '36', '36 th round', 'MBO', 'Sunday', 'Home', '4:3', '10', '44'), ('13.1.2023', '37', '37 th round', 'PLZ', 'Friday', 'Away', '1:4', '11', '44'), ('15.1.2023', '38', '38 th round', 'PAR', 'Sunday', 'Home', '1:2', '11', '44'), ('20.1.2023', '39', '39 th round', 'OLO', 'Friday', 'Away', '8:1', '10', '47'), ('22.1.2023', '40', '40 th round', 'VIT', 'Sunday', 'Away', '3:2sn', '11', '49'), ('25.1.2023', '41', '41 th round', 'SPA', 'Wednesday', 'Away', '2:3', '12', '49'), ('27.1.2023', '42', '42 th round', 'LIB', 'Friday', 'Away', '1:5', '13', '49'), ('29.1.2023', '43', '43 th round', 'BUD', 'Sunday', 'Home', '1:0sn', '12', '51'), ('03.2.2023', '44', '44 th round', 'KLA', 'Friday', 'Away', '2:5', '12', '51'), ('05.2.2023', '45', '45 th round', 'KVA', 'Sunday', 'Home', '1:2pp', '12', '52'), ('15.2.2023', '46', '46 th round', 'HRK', 'Wednesday', 'Away', '0:3', '12', '52'), ('17.2.2023', '47', '47 th round', 'BRN', 'Friday', 'Home', '3:2sn', '12', '54'), ('19.2.2023', '48', '48 th round', 'TRI', 'Sunday', 'Home', '4:3pp', '12', '56'), ('24.2.2023', '49', '49 th round', 'MBO', 'Friday', 'Away', '2:1', '12', '59'), ('26.2.2023', '50', '50 th round', 'PLZ', 'Sunday', 'Home', '2:1', '11', '62'), ('03.3.2023', '51', '51 th round', 'PAR', 'Friday', 'Away', '3:2sn', '12', '64'), ('05.3.2023', '52', '52 th round', 'OLO', 'Sunday', 'Home', '5:1', '11', '67'), ('08.3.2023', '53', 'Playoff 1st round ', 'TRI', 'Wednesday', 'Away', '1:3', '', ''), ('09.3.2023', '54', 'Playoff 1st round ', 'TRI', 'Thursday', 'Away', '4:5pp', '', ''), ('11.3.2023', '55', 'Playoff 1st round ', 'TRI', 'Saturday', 'Home', '2:4', '', ''), ('15.9.2023', '1', '1st round', 'PAR', 'Friday', 'Away', '1:5', '13', '0'), ('17.9.2023', '2', '2nd round', 'PLZ', 'Sunday', 'Home', '4:2', '10', '3'), ('22.9.2023', '3', '3rd round', 'BRN', 'Friday', 'Away', '3:2', '7', '6'), ('24.9.2023', '4', '4 th round', 'LIB', 'Sunday', 'Home', '4:1', '3', '9'), ('27.9.2023', '5', '5 th round', 'HRK', 'Wednesday', 'Away', '3:2sn', '3', '11'), ('29.9.2023', '6', '6 th round', 'MBO', 'Friday', 'Home', '5:2', '3', '14'), ('01.10.2023', '7', '7 th round', 'TRI', 'Sunday', 'Home', '6:4', '2', '17'), ('06.10.2023', '8', '8 th round', 'KVA', 'Friday', 'Away', '4:1', '2', '20'), ('08.10.2023', '9', '9 th round', 'BUD', 'Sunday', 'Home', '4:3', '2', '23'), ('13.10.2023', '10', '10 th round', 'SPA', 'Friday', 'Home', '4:2', '2', '26'), ('15.10.2023', '11', '11 th round', 'KLA', 'Sunday', 'Home', '5:4pp', '2', '28'), ('20.10.2023', '12', '12 th round', 'VIT', 'Friday', 'Home', '6:3', '2', '31'), ('22.10.2023', '13', '13 th round', 'OLO', 'Sunday', 'Away', '1:2', '2', '31'), ('27.10.2023', '14', '14 th round', 'PAR', 'Friday', 'Home', '4:1', '1', '34'), ('29.10.2023', '15', '15 th round', 'PLZ', 'Sunday', 'Away', '2:5', '2', '34'), ('31.10.2023', '16', '16 th round', 'BRN', 'Tuesday', 'Home', '6:3', '2', '37'), ('03.11.2023', '17', '17 th round', 'LIB', 'Friday', 'Away', '2:5', '2', '37'), ('05.11.2023', '18', '18 th round', 'HRK', 'Sunday', 'Home', '0:2', '2', '37'), ('17.11.2023', '19', '19 th round', 'MBO', 'Friday', 'Away', '0:5', '3', '37'), ('19.11.2023', '20', '20 th round', 'TRI', 'Sunday', 'Away', '3:2pp', '3', '39'), ('24.11.2023', '21', '21 th round', 'KVA', 'Friday', 'Home', '6:4', '3', '42'), ('26.11.2023', '22', '22 th round', 'BUD', 'Sunday', 'Away', '0:1', '4', '42'), ('28.11.2023', '23', '23 th round', 'SPA', 'Tuesday', 'Away', '1:3', '4', '42'), ('01.12.2023', '24', '24 th round', 'KLA', 'Friday', 'Away', '0:3', '4', '42'), ('03.12.2023', '25', '25 th round', 'VIT', 'Sunday', 'Away', '2:6', '4', '42'), ('08.12.2023', '26', '26 th round', 'OLO', 'Friday', 'Home', '1:2pp', '5', '43'), ('10.12.2023', '27', '27 th round', 'PAR', 'Sunday', 'Away', '4:2', '5', '46'), ('20.12.2023', '28', '28 th round', 'PLZ', 'Wednesday', 'Home', '2:3sn', '5', '47'), ('26.12.2023', '29', '30 th round', 'LIB', 'Tuesday', 'Home', '6:3', '4', '50'), ('28.12.2023', '30', '31 th round', 'HRK', 'Thursday', 'Away', '5:1', '4', '53'), ('30.12.2023', '31', '32 th round', 'MBO', 'Saturday', 'Home', '6:1', '4', '56'), ('03.1.2024', '32', '47 th round', 'KVA', 'Wednesday', 'Home', '1:6', '4', '56'), ('05.1.2024', '33', '33 th round', 'TRI', 'Friday', 'Home', '5:2', '4', '59'), ('07.1.2024', '34', '34 th round', 'KVA', 'Sunday', 'Away', '1:2pp', '4', '60'), ('12.1.2024', '35', '35 th round', 'BUD', 'Friday', 'Home', '4:3pp', '4', '62'), ('14.1.2024', '36', '36 th round', 'SPA', 'Sunday', 'Away', '3:6', '4', '62'), ('17.1.2024', '37', '29 th round', 'BRN', 'Wednesday', 'Away', '1:3', '4', '62'), ('19.1.2024', '38', '37 th round', 'KLA', 'Friday', 'Home', '4:3', '4', '65'), ('21.1.2024', '39', '38 th round', 'VIT', 'Sunday', 'Away', '1:5', '4', '65'), ('23.1.2024', '40', '39 th round', 'OLO', 'Tuesday', 'Home', '4:1', '4', '68'), ('26.1.2024', '41', '40 th round', 'PAR', 'Friday', 'Home', '1:3', '4', '68')</v>
      </c>
    </row>
    <row r="389" spans="1:23" x14ac:dyDescent="0.25">
      <c r="A389" s="2">
        <v>45319</v>
      </c>
      <c r="B389" s="1">
        <v>42</v>
      </c>
      <c r="C389" s="1" t="s">
        <v>129</v>
      </c>
      <c r="D389" s="1" t="s">
        <v>0</v>
      </c>
      <c r="E389" s="1" t="s">
        <v>57</v>
      </c>
      <c r="F389" s="1" t="s">
        <v>155</v>
      </c>
      <c r="G389" s="11" t="s">
        <v>197</v>
      </c>
      <c r="H389" s="1">
        <v>4</v>
      </c>
      <c r="I389" s="1">
        <v>71</v>
      </c>
      <c r="L389" t="s">
        <v>154</v>
      </c>
      <c r="M389" t="str">
        <f>CONCATENATE("(","'",TEXT(A389,"dd.m.rrrrr"),"'",L389,"'",B389,"'",L389,"'",C389,"'",L389,"'",D389,"'",L389,"'",E389,"'",L389,"'",F389,"'",L389,"'",G389,"'",L389,"'",H389,"'",L389,"'",I389,"'",")")</f>
        <v>('28.1.2024', '42', '41 th round', 'PLZ', 'Sunday', 'Away', '5:3', '4', '71')</v>
      </c>
      <c r="W389" t="str">
        <f t="shared" ref="W389:W412" si="6">CONCATENATE(W388,", ",M389)</f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'17'), ('04.11.2022', '18', '18 th round', 'KLA', 'Friday', 'Away', '2:3pp', '14', '18'), ('06.11.2022', '19', '19 th round', 'KVA', 'Sunday', 'Home', '5:3', '12', '21'), ('18.11.2022', '20', '20 th round', 'HRK', 'Friday', 'Away', '0:3', '13', '21'), ('20.11.2022', '21', '21 th round', 'BRN', 'Sunday', 'Home', '5:1', '11', '24'), ('25.11.2022', '22', '22 th round', 'TRI', 'Friday', 'Home', '1:2pp', '12', '25'), ('27.11.2022', '23', '23 th round', 'MBO', 'Sunday', 'Away', '4:6', '12', '25'), ('29.11.2022', '24', '24 th round', 'PLZ', 'Tuesday', 'Home', '2:4', '12', '25'), ('04.12.2022', '25', '26 th round', 'OLO', 'Sunday', 'Home', '5:3', '12', '28'), ('06.12.2022', '26', '25 th round', 'PAR', 'Tuesday', 'Away', '0:1', '12', '28'), ('09.12.2022', '27', '27 th round', 'VIT', 'Friday', 'Home', '5:3', '12', '31'), ('11.12.2022', '28', '28 th round', 'SPA', 'Sunday', 'Home', '5:2', '12', '34'), ('20.12.2022', '29', '29 th round', 'LIB', 'Tuesday', 'Home', '3:2sn', '11', '36'), ('22.12.2022', '30', '30 th round', 'BUD', 'Thursday', 'Away', '5:2', '11', '39'), ('26.12.2022', '31', '31 th round', 'KLA', 'Monday', 'Home', '2:3', '11', '39'), ('28.12.2022', '32', '32 th round', 'KVA', 'Wednesday', 'Away', '0:3', '11', '39'), ('30.12.2022', '33', '33 th round', 'HRK', 'Friday', 'Home', '2:3pp', '11', '40'), ('03.1.2023', '34', '34 th round', 'BRN', 'Tuesday', 'Away', '1:3', '12', '40'), ('06.1.2023', '35', '35 th round', 'TRI', 'Friday', 'Away', '2:3pp', '11', '41'), ('08.1.2023', '36', '36 th round', 'MBO', 'Sunday', 'Home', '4:3', '10', '44'), ('13.1.2023', '37', '37 th round', 'PLZ', 'Friday', 'Away', '1:4', '11', '44'), ('15.1.2023', '38', '38 th round', 'PAR', 'Sunday', 'Home', '1:2', '11', '44'), ('20.1.2023', '39', '39 th round', 'OLO', 'Friday', 'Away', '8:1', '10', '47'), ('22.1.2023', '40', '40 th round', 'VIT', 'Sunday', 'Away', '3:2sn', '11', '49'), ('25.1.2023', '41', '41 th round', 'SPA', 'Wednesday', 'Away', '2:3', '12', '49'), ('27.1.2023', '42', '42 th round', 'LIB', 'Friday', 'Away', '1:5', '13', '49'), ('29.1.2023', '43', '43 th round', 'BUD', 'Sunday', 'Home', '1:0sn', '12', '51'), ('03.2.2023', '44', '44 th round', 'KLA', 'Friday', 'Away', '2:5', '12', '51'), ('05.2.2023', '45', '45 th round', 'KVA', 'Sunday', 'Home', '1:2pp', '12', '52'), ('15.2.2023', '46', '46 th round', 'HRK', 'Wednesday', 'Away', '0:3', '12', '52'), ('17.2.2023', '47', '47 th round', 'BRN', 'Friday', 'Home', '3:2sn', '12', '54'), ('19.2.2023', '48', '48 th round', 'TRI', 'Sunday', 'Home', '4:3pp', '12', '56'), ('24.2.2023', '49', '49 th round', 'MBO', 'Friday', 'Away', '2:1', '12', '59'), ('26.2.2023', '50', '50 th round', 'PLZ', 'Sunday', 'Home', '2:1', '11', '62'), ('03.3.2023', '51', '51 th round', 'PAR', 'Friday', 'Away', '3:2sn', '12', '64'), ('05.3.2023', '52', '52 th round', 'OLO', 'Sunday', 'Home', '5:1', '11', '67'), ('08.3.2023', '53', 'Playoff 1st round ', 'TRI', 'Wednesday', 'Away', '1:3', '', ''), ('09.3.2023', '54', 'Playoff 1st round ', 'TRI', 'Thursday', 'Away', '4:5pp', '', ''), ('11.3.2023', '55', 'Playoff 1st round ', 'TRI', 'Saturday', 'Home', '2:4', '', ''), ('15.9.2023', '1', '1st round', 'PAR', 'Friday', 'Away', '1:5', '13', '0'), ('17.9.2023', '2', '2nd round', 'PLZ', 'Sunday', 'Home', '4:2', '10', '3'), ('22.9.2023', '3', '3rd round', 'BRN', 'Friday', 'Away', '3:2', '7', '6'), ('24.9.2023', '4', '4 th round', 'LIB', 'Sunday', 'Home', '4:1', '3', '9'), ('27.9.2023', '5', '5 th round', 'HRK', 'Wednesday', 'Away', '3:2sn', '3', '11'), ('29.9.2023', '6', '6 th round', 'MBO', 'Friday', 'Home', '5:2', '3', '14'), ('01.10.2023', '7', '7 th round', 'TRI', 'Sunday', 'Home', '6:4', '2', '17'), ('06.10.2023', '8', '8 th round', 'KVA', 'Friday', 'Away', '4:1', '2', '20'), ('08.10.2023', '9', '9 th round', 'BUD', 'Sunday', 'Home', '4:3', '2', '23'), ('13.10.2023', '10', '10 th round', 'SPA', 'Friday', 'Home', '4:2', '2', '26'), ('15.10.2023', '11', '11 th round', 'KLA', 'Sunday', 'Home', '5:4pp', '2', '28'), ('20.10.2023', '12', '12 th round', 'VIT', 'Friday', 'Home', '6:3', '2', '31'), ('22.10.2023', '13', '13 th round', 'OLO', 'Sunday', 'Away', '1:2', '2', '31'), ('27.10.2023', '14', '14 th round', 'PAR', 'Friday', 'Home', '4:1', '1', '34'), ('29.10.2023', '15', '15 th round', 'PLZ', 'Sunday', 'Away', '2:5', '2', '34'), ('31.10.2023', '16', '16 th round', 'BRN', 'Tuesday', 'Home', '6:3', '2', '37'), ('03.11.2023', '17', '17 th round', 'LIB', 'Friday', 'Away', '2:5', '2', '37'), ('05.11.2023', '18', '18 th round', 'HRK', 'Sunday', 'Home', '0:2', '2', '37'), ('17.11.2023', '19', '19 th round', 'MBO', 'Friday', 'Away', '0:5', '3', '37'), ('19.11.2023', '20', '20 th round', 'TRI', 'Sunday', 'Away', '3:2pp', '3', '39'), ('24.11.2023', '21', '21 th round', 'KVA', 'Friday', 'Home', '6:4', '3', '42'), ('26.11.2023', '22', '22 th round', 'BUD', 'Sunday', 'Away', '0:1', '4', '42'), ('28.11.2023', '23', '23 th round', 'SPA', 'Tuesday', 'Away', '1:3', '4', '42'), ('01.12.2023', '24', '24 th round', 'KLA', 'Friday', 'Away', '0:3', '4', '42'), ('03.12.2023', '25', '25 th round', 'VIT', 'Sunday', 'Away', '2:6', '4', '42'), ('08.12.2023', '26', '26 th round', 'OLO', 'Friday', 'Home', '1:2pp', '5', '43'), ('10.12.2023', '27', '27 th round', 'PAR', 'Sunday', 'Away', '4:2', '5', '46'), ('20.12.2023', '28', '28 th round', 'PLZ', 'Wednesday', 'Home', '2:3sn', '5', '47'), ('26.12.2023', '29', '30 th round', 'LIB', 'Tuesday', 'Home', '6:3', '4', '50'), ('28.12.2023', '30', '31 th round', 'HRK', 'Thursday', 'Away', '5:1', '4', '53'), ('30.12.2023', '31', '32 th round', 'MBO', 'Saturday', 'Home', '6:1', '4', '56'), ('03.1.2024', '32', '47 th round', 'KVA', 'Wednesday', 'Home', '1:6', '4', '56'), ('05.1.2024', '33', '33 th round', 'TRI', 'Friday', 'Home', '5:2', '4', '59'), ('07.1.2024', '34', '34 th round', 'KVA', 'Sunday', 'Away', '1:2pp', '4', '60'), ('12.1.2024', '35', '35 th round', 'BUD', 'Friday', 'Home', '4:3pp', '4', '62'), ('14.1.2024', '36', '36 th round', 'SPA', 'Sunday', 'Away', '3:6', '4', '62'), ('17.1.2024', '37', '29 th round', 'BRN', 'Wednesday', 'Away', '1:3', '4', '62'), ('19.1.2024', '38', '37 th round', 'KLA', 'Friday', 'Home', '4:3', '4', '65'), ('21.1.2024', '39', '38 th round', 'VIT', 'Sunday', 'Away', '1:5', '4', '65'), ('23.1.2024', '40', '39 th round', 'OLO', 'Tuesday', 'Home', '4:1', '4', '68'), ('26.1.2024', '41', '40 th round', 'PAR', 'Friday', 'Home', '1:3', '4', '68'), ('28.1.2024', '42', '41 th round', 'PLZ', 'Sunday', 'Away', '5:3', '4', '71')</v>
      </c>
    </row>
    <row r="390" spans="1:23" x14ac:dyDescent="0.25">
      <c r="A390" s="2">
        <v>45324</v>
      </c>
      <c r="B390" s="1">
        <v>43</v>
      </c>
      <c r="C390" s="1" t="s">
        <v>130</v>
      </c>
      <c r="D390" s="1" t="s">
        <v>11</v>
      </c>
      <c r="E390" s="1" t="s">
        <v>55</v>
      </c>
      <c r="F390" s="1" t="s">
        <v>157</v>
      </c>
      <c r="G390" s="11" t="s">
        <v>174</v>
      </c>
      <c r="H390" s="1">
        <v>4</v>
      </c>
      <c r="I390" s="1">
        <v>71</v>
      </c>
      <c r="L390" t="s">
        <v>154</v>
      </c>
      <c r="M390" t="str">
        <f>CONCATENATE("(","'",TEXT(A390,"dd.m.rrrrr"),"'",L390,"'",B390,"'",L390,"'",C390,"'",L390,"'",D390,"'",L390,"'",E390,"'",L390,"'",F390,"'",L390,"'",G390,"'",L390,"'",H390,"'",L390,"'",I390,"'",")")</f>
        <v>('02.2.2024', '43', '42 th round', 'BRN', 'Friday', 'Home', '2:3', '4', '71')</v>
      </c>
      <c r="W390" t="str">
        <f t="shared" si="6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'17'), ('04.11.2022', '18', '18 th round', 'KLA', 'Friday', 'Away', '2:3pp', '14', '18'), ('06.11.2022', '19', '19 th round', 'KVA', 'Sunday', 'Home', '5:3', '12', '21'), ('18.11.2022', '20', '20 th round', 'HRK', 'Friday', 'Away', '0:3', '13', '21'), ('20.11.2022', '21', '21 th round', 'BRN', 'Sunday', 'Home', '5:1', '11', '24'), ('25.11.2022', '22', '22 th round', 'TRI', 'Friday', 'Home', '1:2pp', '12', '25'), ('27.11.2022', '23', '23 th round', 'MBO', 'Sunday', 'Away', '4:6', '12', '25'), ('29.11.2022', '24', '24 th round', 'PLZ', 'Tuesday', 'Home', '2:4', '12', '25'), ('04.12.2022', '25', '26 th round', 'OLO', 'Sunday', 'Home', '5:3', '12', '28'), ('06.12.2022', '26', '25 th round', 'PAR', 'Tuesday', 'Away', '0:1', '12', '28'), ('09.12.2022', '27', '27 th round', 'VIT', 'Friday', 'Home', '5:3', '12', '31'), ('11.12.2022', '28', '28 th round', 'SPA', 'Sunday', 'Home', '5:2', '12', '34'), ('20.12.2022', '29', '29 th round', 'LIB', 'Tuesday', 'Home', '3:2sn', '11', '36'), ('22.12.2022', '30', '30 th round', 'BUD', 'Thursday', 'Away', '5:2', '11', '39'), ('26.12.2022', '31', '31 th round', 'KLA', 'Monday', 'Home', '2:3', '11', '39'), ('28.12.2022', '32', '32 th round', 'KVA', 'Wednesday', 'Away', '0:3', '11', '39'), ('30.12.2022', '33', '33 th round', 'HRK', 'Friday', 'Home', '2:3pp', '11', '40'), ('03.1.2023', '34', '34 th round', 'BRN', 'Tuesday', 'Away', '1:3', '12', '40'), ('06.1.2023', '35', '35 th round', 'TRI', 'Friday', 'Away', '2:3pp', '11', '41'), ('08.1.2023', '36', '36 th round', 'MBO', 'Sunday', 'Home', '4:3', '10', '44'), ('13.1.2023', '37', '37 th round', 'PLZ', 'Friday', 'Away', '1:4', '11', '44'), ('15.1.2023', '38', '38 th round', 'PAR', 'Sunday', 'Home', '1:2', '11', '44'), ('20.1.2023', '39', '39 th round', 'OLO', 'Friday', 'Away', '8:1', '10', '47'), ('22.1.2023', '40', '40 th round', 'VIT', 'Sunday', 'Away', '3:2sn', '11', '49'), ('25.1.2023', '41', '41 th round', 'SPA', 'Wednesday', 'Away', '2:3', '12', '49'), ('27.1.2023', '42', '42 th round', 'LIB', 'Friday', 'Away', '1:5', '13', '49'), ('29.1.2023', '43', '43 th round', 'BUD', 'Sunday', 'Home', '1:0sn', '12', '51'), ('03.2.2023', '44', '44 th round', 'KLA', 'Friday', 'Away', '2:5', '12', '51'), ('05.2.2023', '45', '45 th round', 'KVA', 'Sunday', 'Home', '1:2pp', '12', '52'), ('15.2.2023', '46', '46 th round', 'HRK', 'Wednesday', 'Away', '0:3', '12', '52'), ('17.2.2023', '47', '47 th round', 'BRN', 'Friday', 'Home', '3:2sn', '12', '54'), ('19.2.2023', '48', '48 th round', 'TRI', 'Sunday', 'Home', '4:3pp', '12', '56'), ('24.2.2023', '49', '49 th round', 'MBO', 'Friday', 'Away', '2:1', '12', '59'), ('26.2.2023', '50', '50 th round', 'PLZ', 'Sunday', 'Home', '2:1', '11', '62'), ('03.3.2023', '51', '51 th round', 'PAR', 'Friday', 'Away', '3:2sn', '12', '64'), ('05.3.2023', '52', '52 th round', 'OLO', 'Sunday', 'Home', '5:1', '11', '67'), ('08.3.2023', '53', 'Playoff 1st round ', 'TRI', 'Wednesday', 'Away', '1:3', '', ''), ('09.3.2023', '54', 'Playoff 1st round ', 'TRI', 'Thursday', 'Away', '4:5pp', '', ''), ('11.3.2023', '55', 'Playoff 1st round ', 'TRI', 'Saturday', 'Home', '2:4', '', ''), ('15.9.2023', '1', '1st round', 'PAR', 'Friday', 'Away', '1:5', '13', '0'), ('17.9.2023', '2', '2nd round', 'PLZ', 'Sunday', 'Home', '4:2', '10', '3'), ('22.9.2023', '3', '3rd round', 'BRN', 'Friday', 'Away', '3:2', '7', '6'), ('24.9.2023', '4', '4 th round', 'LIB', 'Sunday', 'Home', '4:1', '3', '9'), ('27.9.2023', '5', '5 th round', 'HRK', 'Wednesday', 'Away', '3:2sn', '3', '11'), ('29.9.2023', '6', '6 th round', 'MBO', 'Friday', 'Home', '5:2', '3', '14'), ('01.10.2023', '7', '7 th round', 'TRI', 'Sunday', 'Home', '6:4', '2', '17'), ('06.10.2023', '8', '8 th round', 'KVA', 'Friday', 'Away', '4:1', '2', '20'), ('08.10.2023', '9', '9 th round', 'BUD', 'Sunday', 'Home', '4:3', '2', '23'), ('13.10.2023', '10', '10 th round', 'SPA', 'Friday', 'Home', '4:2', '2', '26'), ('15.10.2023', '11', '11 th round', 'KLA', 'Sunday', 'Home', '5:4pp', '2', '28'), ('20.10.2023', '12', '12 th round', 'VIT', 'Friday', 'Home', '6:3', '2', '31'), ('22.10.2023', '13', '13 th round', 'OLO', 'Sunday', 'Away', '1:2', '2', '31'), ('27.10.2023', '14', '14 th round', 'PAR', 'Friday', 'Home', '4:1', '1', '34'), ('29.10.2023', '15', '15 th round', 'PLZ', 'Sunday', 'Away', '2:5', '2', '34'), ('31.10.2023', '16', '16 th round', 'BRN', 'Tuesday', 'Home', '6:3', '2', '37'), ('03.11.2023', '17', '17 th round', 'LIB', 'Friday', 'Away', '2:5', '2', '37'), ('05.11.2023', '18', '18 th round', 'HRK', 'Sunday', 'Home', '0:2', '2', '37'), ('17.11.2023', '19', '19 th round', 'MBO', 'Friday', 'Away', '0:5', '3', '37'), ('19.11.2023', '20', '20 th round', 'TRI', 'Sunday', 'Away', '3:2pp', '3', '39'), ('24.11.2023', '21', '21 th round', 'KVA', 'Friday', 'Home', '6:4', '3', '42'), ('26.11.2023', '22', '22 th round', 'BUD', 'Sunday', 'Away', '0:1', '4', '42'), ('28.11.2023', '23', '23 th round', 'SPA', 'Tuesday', 'Away', '1:3', '4', '42'), ('01.12.2023', '24', '24 th round', 'KLA', 'Friday', 'Away', '0:3', '4', '42'), ('03.12.2023', '25', '25 th round', 'VIT', 'Sunday', 'Away', '2:6', '4', '42'), ('08.12.2023', '26', '26 th round', 'OLO', 'Friday', 'Home', '1:2pp', '5', '43'), ('10.12.2023', '27', '27 th round', 'PAR', 'Sunday', 'Away', '4:2', '5', '46'), ('20.12.2023', '28', '28 th round', 'PLZ', 'Wednesday', 'Home', '2:3sn', '5', '47'), ('26.12.2023', '29', '30 th round', 'LIB', 'Tuesday', 'Home', '6:3', '4', '50'), ('28.12.2023', '30', '31 th round', 'HRK', 'Thursday', 'Away', '5:1', '4', '53'), ('30.12.2023', '31', '32 th round', 'MBO', 'Saturday', 'Home', '6:1', '4', '56'), ('03.1.2024', '32', '47 th round', 'KVA', 'Wednesday', 'Home', '1:6', '4', '56'), ('05.1.2024', '33', '33 th round', 'TRI', 'Friday', 'Home', '5:2', '4', '59'), ('07.1.2024', '34', '34 th round', 'KVA', 'Sunday', 'Away', '1:2pp', '4', '60'), ('12.1.2024', '35', '35 th round', 'BUD', 'Friday', 'Home', '4:3pp', '4', '62'), ('14.1.2024', '36', '36 th round', 'SPA', 'Sunday', 'Away', '3:6', '4', '62'), ('17.1.2024', '37', '29 th round', 'BRN', 'Wednesday', 'Away', '1:3', '4', '62'), ('19.1.2024', '38', '37 th round', 'KLA', 'Friday', 'Home', '4:3', '4', '65'), ('21.1.2024', '39', '38 th round', 'VIT', 'Sunday', 'Away', '1:5', '4', '65'), ('23.1.2024', '40', '39 th round', 'OLO', 'Tuesday', 'Home', '4:1', '4', '68'), ('26.1.2024', '41', '40 th round', 'PAR', 'Friday', 'Home', '1:3', '4', '68'), ('28.1.2024', '42', '41 th round', 'PLZ', 'Sunday', 'Away', '5:3', '4', '71'), ('02.2.2024', '43', '42 th round', 'BRN', 'Friday', 'Home', '2:3', '4', '71')</v>
      </c>
    </row>
    <row r="391" spans="1:23" x14ac:dyDescent="0.25">
      <c r="A391" s="2">
        <v>45326</v>
      </c>
      <c r="B391" s="1">
        <v>44</v>
      </c>
      <c r="C391" s="1" t="s">
        <v>131</v>
      </c>
      <c r="D391" s="1" t="s">
        <v>1</v>
      </c>
      <c r="E391" s="1" t="s">
        <v>57</v>
      </c>
      <c r="F391" s="1" t="s">
        <v>155</v>
      </c>
      <c r="G391" s="11" t="s">
        <v>177</v>
      </c>
      <c r="H391" s="1">
        <v>6</v>
      </c>
      <c r="I391" s="1">
        <v>71</v>
      </c>
      <c r="L391" t="s">
        <v>154</v>
      </c>
      <c r="M391" t="str">
        <f>CONCATENATE("(","'",TEXT(A391,"dd.m.rrrrr"),"'",L391,"'",B391,"'",L391,"'",C391,"'",L391,"'",D391,"'",L391,"'",E391,"'",L391,"'",F391,"'",L391,"'",G391,"'",L391,"'",H391,"'",L391,"'",I391,"'",")")</f>
        <v>('04.2.2024', '44', '43 th round', 'LIB', 'Sunday', 'Away', '2:6', '6', '71')</v>
      </c>
      <c r="W391" t="str">
        <f t="shared" si="6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'17'), ('04.11.2022', '18', '18 th round', 'KLA', 'Friday', 'Away', '2:3pp', '14', '18'), ('06.11.2022', '19', '19 th round', 'KVA', 'Sunday', 'Home', '5:3', '12', '21'), ('18.11.2022', '20', '20 th round', 'HRK', 'Friday', 'Away', '0:3', '13', '21'), ('20.11.2022', '21', '21 th round', 'BRN', 'Sunday', 'Home', '5:1', '11', '24'), ('25.11.2022', '22', '22 th round', 'TRI', 'Friday', 'Home', '1:2pp', '12', '25'), ('27.11.2022', '23', '23 th round', 'MBO', 'Sunday', 'Away', '4:6', '12', '25'), ('29.11.2022', '24', '24 th round', 'PLZ', 'Tuesday', 'Home', '2:4', '12', '25'), ('04.12.2022', '25', '26 th round', 'OLO', 'Sunday', 'Home', '5:3', '12', '28'), ('06.12.2022', '26', '25 th round', 'PAR', 'Tuesday', 'Away', '0:1', '12', '28'), ('09.12.2022', '27', '27 th round', 'VIT', 'Friday', 'Home', '5:3', '12', '31'), ('11.12.2022', '28', '28 th round', 'SPA', 'Sunday', 'Home', '5:2', '12', '34'), ('20.12.2022', '29', '29 th round', 'LIB', 'Tuesday', 'Home', '3:2sn', '11', '36'), ('22.12.2022', '30', '30 th round', 'BUD', 'Thursday', 'Away', '5:2', '11', '39'), ('26.12.2022', '31', '31 th round', 'KLA', 'Monday', 'Home', '2:3', '11', '39'), ('28.12.2022', '32', '32 th round', 'KVA', 'Wednesday', 'Away', '0:3', '11', '39'), ('30.12.2022', '33', '33 th round', 'HRK', 'Friday', 'Home', '2:3pp', '11', '40'), ('03.1.2023', '34', '34 th round', 'BRN', 'Tuesday', 'Away', '1:3', '12', '40'), ('06.1.2023', '35', '35 th round', 'TRI', 'Friday', 'Away', '2:3pp', '11', '41'), ('08.1.2023', '36', '36 th round', 'MBO', 'Sunday', 'Home', '4:3', '10', '44'), ('13.1.2023', '37', '37 th round', 'PLZ', 'Friday', 'Away', '1:4', '11', '44'), ('15.1.2023', '38', '38 th round', 'PAR', 'Sunday', 'Home', '1:2', '11', '44'), ('20.1.2023', '39', '39 th round', 'OLO', 'Friday', 'Away', '8:1', '10', '47'), ('22.1.2023', '40', '40 th round', 'VIT', 'Sunday', 'Away', '3:2sn', '11', '49'), ('25.1.2023', '41', '41 th round', 'SPA', 'Wednesday', 'Away', '2:3', '12', '49'), ('27.1.2023', '42', '42 th round', 'LIB', 'Friday', 'Away', '1:5', '13', '49'), ('29.1.2023', '43', '43 th round', 'BUD', 'Sunday', 'Home', '1:0sn', '12', '51'), ('03.2.2023', '44', '44 th round', 'KLA', 'Friday', 'Away', '2:5', '12', '51'), ('05.2.2023', '45', '45 th round', 'KVA', 'Sunday', 'Home', '1:2pp', '12', '52'), ('15.2.2023', '46', '46 th round', 'HRK', 'Wednesday', 'Away', '0:3', '12', '52'), ('17.2.2023', '47', '47 th round', 'BRN', 'Friday', 'Home', '3:2sn', '12', '54'), ('19.2.2023', '48', '48 th round', 'TRI', 'Sunday', 'Home', '4:3pp', '12', '56'), ('24.2.2023', '49', '49 th round', 'MBO', 'Friday', 'Away', '2:1', '12', '59'), ('26.2.2023', '50', '50 th round', 'PLZ', 'Sunday', 'Home', '2:1', '11', '62'), ('03.3.2023', '51', '51 th round', 'PAR', 'Friday', 'Away', '3:2sn', '12', '64'), ('05.3.2023', '52', '52 th round', 'OLO', 'Sunday', 'Home', '5:1', '11', '67'), ('08.3.2023', '53', 'Playoff 1st round ', 'TRI', 'Wednesday', 'Away', '1:3', '', ''), ('09.3.2023', '54', 'Playoff 1st round ', 'TRI', 'Thursday', 'Away', '4:5pp', '', ''), ('11.3.2023', '55', 'Playoff 1st round ', 'TRI', 'Saturday', 'Home', '2:4', '', ''), ('15.9.2023', '1', '1st round', 'PAR', 'Friday', 'Away', '1:5', '13', '0'), ('17.9.2023', '2', '2nd round', 'PLZ', 'Sunday', 'Home', '4:2', '10', '3'), ('22.9.2023', '3', '3rd round', 'BRN', 'Friday', 'Away', '3:2', '7', '6'), ('24.9.2023', '4', '4 th round', 'LIB', 'Sunday', 'Home', '4:1', '3', '9'), ('27.9.2023', '5', '5 th round', 'HRK', 'Wednesday', 'Away', '3:2sn', '3', '11'), ('29.9.2023', '6', '6 th round', 'MBO', 'Friday', 'Home', '5:2', '3', '14'), ('01.10.2023', '7', '7 th round', 'TRI', 'Sunday', 'Home', '6:4', '2', '17'), ('06.10.2023', '8', '8 th round', 'KVA', 'Friday', 'Away', '4:1', '2', '20'), ('08.10.2023', '9', '9 th round', 'BUD', 'Sunday', 'Home', '4:3', '2', '23'), ('13.10.2023', '10', '10 th round', 'SPA', 'Friday', 'Home', '4:2', '2', '26'), ('15.10.2023', '11', '11 th round', 'KLA', 'Sunday', 'Home', '5:4pp', '2', '28'), ('20.10.2023', '12', '12 th round', 'VIT', 'Friday', 'Home', '6:3', '2', '31'), ('22.10.2023', '13', '13 th round', 'OLO', 'Sunday', 'Away', '1:2', '2', '31'), ('27.10.2023', '14', '14 th round', 'PAR', 'Friday', 'Home', '4:1', '1', '34'), ('29.10.2023', '15', '15 th round', 'PLZ', 'Sunday', 'Away', '2:5', '2', '34'), ('31.10.2023', '16', '16 th round', 'BRN', 'Tuesday', 'Home', '6:3', '2', '37'), ('03.11.2023', '17', '17 th round', 'LIB', 'Friday', 'Away', '2:5', '2', '37'), ('05.11.2023', '18', '18 th round', 'HRK', 'Sunday', 'Home', '0:2', '2', '37'), ('17.11.2023', '19', '19 th round', 'MBO', 'Friday', 'Away', '0:5', '3', '37'), ('19.11.2023', '20', '20 th round', 'TRI', 'Sunday', 'Away', '3:2pp', '3', '39'), ('24.11.2023', '21', '21 th round', 'KVA', 'Friday', 'Home', '6:4', '3', '42'), ('26.11.2023', '22', '22 th round', 'BUD', 'Sunday', 'Away', '0:1', '4', '42'), ('28.11.2023', '23', '23 th round', 'SPA', 'Tuesday', 'Away', '1:3', '4', '42'), ('01.12.2023', '24', '24 th round', 'KLA', 'Friday', 'Away', '0:3', '4', '42'), ('03.12.2023', '25', '25 th round', 'VIT', 'Sunday', 'Away', '2:6', '4', '42'), ('08.12.2023', '26', '26 th round', 'OLO', 'Friday', 'Home', '1:2pp', '5', '43'), ('10.12.2023', '27', '27 th round', 'PAR', 'Sunday', 'Away', '4:2', '5', '46'), ('20.12.2023', '28', '28 th round', 'PLZ', 'Wednesday', 'Home', '2:3sn', '5', '47'), ('26.12.2023', '29', '30 th round', 'LIB', 'Tuesday', 'Home', '6:3', '4', '50'), ('28.12.2023', '30', '31 th round', 'HRK', 'Thursday', 'Away', '5:1', '4', '53'), ('30.12.2023', '31', '32 th round', 'MBO', 'Saturday', 'Home', '6:1', '4', '56'), ('03.1.2024', '32', '47 th round', 'KVA', 'Wednesday', 'Home', '1:6', '4', '56'), ('05.1.2024', '33', '33 th round', 'TRI', 'Friday', 'Home', '5:2', '4', '59'), ('07.1.2024', '34', '34 th round', 'KVA', 'Sunday', 'Away', '1:2pp', '4', '60'), ('12.1.2024', '35', '35 th round', 'BUD', 'Friday', 'Home', '4:3pp', '4', '62'), ('14.1.2024', '36', '36 th round', 'SPA', 'Sunday', 'Away', '3:6', '4', '62'), ('17.1.2024', '37', '29 th round', 'BRN', 'Wednesday', 'Away', '1:3', '4', '62'), ('19.1.2024', '38', '37 th round', 'KLA', 'Friday', 'Home', '4:3', '4', '65'), ('21.1.2024', '39', '38 th round', 'VIT', 'Sunday', 'Away', '1:5', '4', '65'), ('23.1.2024', '40', '39 th round', 'OLO', 'Tuesday', 'Home', '4:1', '4', '68'), ('26.1.2024', '41', '40 th round', 'PAR', 'Friday', 'Home', '1:3', '4', '68'), ('28.1.2024', '42', '41 th round', 'PLZ', 'Sunday', 'Away', '5:3', '4', '71'), ('02.2.2024', '43', '42 th round', 'BRN', 'Friday', 'Home', '2:3', '4', '71'), ('04.2.2024', '44', '43 th round', 'LIB', 'Sunday', 'Away', '2:6', '6', '71')</v>
      </c>
    </row>
    <row r="392" spans="1:23" x14ac:dyDescent="0.25">
      <c r="A392" s="2">
        <v>45336</v>
      </c>
      <c r="B392" s="1">
        <v>45</v>
      </c>
      <c r="C392" s="1" t="s">
        <v>132</v>
      </c>
      <c r="D392" s="1" t="s">
        <v>2</v>
      </c>
      <c r="E392" s="1" t="s">
        <v>60</v>
      </c>
      <c r="F392" s="1" t="s">
        <v>157</v>
      </c>
      <c r="G392" s="3" t="s">
        <v>38</v>
      </c>
      <c r="H392" s="1">
        <v>6</v>
      </c>
      <c r="I392" s="1">
        <v>72</v>
      </c>
      <c r="L392" t="s">
        <v>154</v>
      </c>
      <c r="M392" t="str">
        <f>CONCATENATE("(","'",TEXT(A392,"dd.m.rrrrr"),"'",L392,"'",B392,"'",L392,"'",C392,"'",L392,"'",D392,"'",L392,"'",E392,"'",L392,"'",F392,"'",L392,"'",G392,"'",L392,"'",H392,"'",L392,"'",I392,"'",")")</f>
        <v>('14.2.2024', '45', '44 th round', 'HRK', 'Wednesday', 'Home', '5:6pp', '6', '72')</v>
      </c>
      <c r="W392" t="str">
        <f t="shared" si="6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'17'), ('04.11.2022', '18', '18 th round', 'KLA', 'Friday', 'Away', '2:3pp', '14', '18'), ('06.11.2022', '19', '19 th round', 'KVA', 'Sunday', 'Home', '5:3', '12', '21'), ('18.11.2022', '20', '20 th round', 'HRK', 'Friday', 'Away', '0:3', '13', '21'), ('20.11.2022', '21', '21 th round', 'BRN', 'Sunday', 'Home', '5:1', '11', '24'), ('25.11.2022', '22', '22 th round', 'TRI', 'Friday', 'Home', '1:2pp', '12', '25'), ('27.11.2022', '23', '23 th round', 'MBO', 'Sunday', 'Away', '4:6', '12', '25'), ('29.11.2022', '24', '24 th round', 'PLZ', 'Tuesday', 'Home', '2:4', '12', '25'), ('04.12.2022', '25', '26 th round', 'OLO', 'Sunday', 'Home', '5:3', '12', '28'), ('06.12.2022', '26', '25 th round', 'PAR', 'Tuesday', 'Away', '0:1', '12', '28'), ('09.12.2022', '27', '27 th round', 'VIT', 'Friday', 'Home', '5:3', '12', '31'), ('11.12.2022', '28', '28 th round', 'SPA', 'Sunday', 'Home', '5:2', '12', '34'), ('20.12.2022', '29', '29 th round', 'LIB', 'Tuesday', 'Home', '3:2sn', '11', '36'), ('22.12.2022', '30', '30 th round', 'BUD', 'Thursday', 'Away', '5:2', '11', '39'), ('26.12.2022', '31', '31 th round', 'KLA', 'Monday', 'Home', '2:3', '11', '39'), ('28.12.2022', '32', '32 th round', 'KVA', 'Wednesday', 'Away', '0:3', '11', '39'), ('30.12.2022', '33', '33 th round', 'HRK', 'Friday', 'Home', '2:3pp', '11', '40'), ('03.1.2023', '34', '34 th round', 'BRN', 'Tuesday', 'Away', '1:3', '12', '40'), ('06.1.2023', '35', '35 th round', 'TRI', 'Friday', 'Away', '2:3pp', '11', '41'), ('08.1.2023', '36', '36 th round', 'MBO', 'Sunday', 'Home', '4:3', '10', '44'), ('13.1.2023', '37', '37 th round', 'PLZ', 'Friday', 'Away', '1:4', '11', '44'), ('15.1.2023', '38', '38 th round', 'PAR', 'Sunday', 'Home', '1:2', '11', '44'), ('20.1.2023', '39', '39 th round', 'OLO', 'Friday', 'Away', '8:1', '10', '47'), ('22.1.2023', '40', '40 th round', 'VIT', 'Sunday', 'Away', '3:2sn', '11', '49'), ('25.1.2023', '41', '41 th round', 'SPA', 'Wednesday', 'Away', '2:3', '12', '49'), ('27.1.2023', '42', '42 th round', 'LIB', 'Friday', 'Away', '1:5', '13', '49'), ('29.1.2023', '43', '43 th round', 'BUD', 'Sunday', 'Home', '1:0sn', '12', '51'), ('03.2.2023', '44', '44 th round', 'KLA', 'Friday', 'Away', '2:5', '12', '51'), ('05.2.2023', '45', '45 th round', 'KVA', 'Sunday', 'Home', '1:2pp', '12', '52'), ('15.2.2023', '46', '46 th round', 'HRK', 'Wednesday', 'Away', '0:3', '12', '52'), ('17.2.2023', '47', '47 th round', 'BRN', 'Friday', 'Home', '3:2sn', '12', '54'), ('19.2.2023', '48', '48 th round', 'TRI', 'Sunday', 'Home', '4:3pp', '12', '56'), ('24.2.2023', '49', '49 th round', 'MBO', 'Friday', 'Away', '2:1', '12', '59'), ('26.2.2023', '50', '50 th round', 'PLZ', 'Sunday', 'Home', '2:1', '11', '62'), ('03.3.2023', '51', '51 th round', 'PAR', 'Friday', 'Away', '3:2sn', '12', '64'), ('05.3.2023', '52', '52 th round', 'OLO', 'Sunday', 'Home', '5:1', '11', '67'), ('08.3.2023', '53', 'Playoff 1st round ', 'TRI', 'Wednesday', 'Away', '1:3', '', ''), ('09.3.2023', '54', 'Playoff 1st round ', 'TRI', 'Thursday', 'Away', '4:5pp', '', ''), ('11.3.2023', '55', 'Playoff 1st round ', 'TRI', 'Saturday', 'Home', '2:4', '', ''), ('15.9.2023', '1', '1st round', 'PAR', 'Friday', 'Away', '1:5', '13', '0'), ('17.9.2023', '2', '2nd round', 'PLZ', 'Sunday', 'Home', '4:2', '10', '3'), ('22.9.2023', '3', '3rd round', 'BRN', 'Friday', 'Away', '3:2', '7', '6'), ('24.9.2023', '4', '4 th round', 'LIB', 'Sunday', 'Home', '4:1', '3', '9'), ('27.9.2023', '5', '5 th round', 'HRK', 'Wednesday', 'Away', '3:2sn', '3', '11'), ('29.9.2023', '6', '6 th round', 'MBO', 'Friday', 'Home', '5:2', '3', '14'), ('01.10.2023', '7', '7 th round', 'TRI', 'Sunday', 'Home', '6:4', '2', '17'), ('06.10.2023', '8', '8 th round', 'KVA', 'Friday', 'Away', '4:1', '2', '20'), ('08.10.2023', '9', '9 th round', 'BUD', 'Sunday', 'Home', '4:3', '2', '23'), ('13.10.2023', '10', '10 th round', 'SPA', 'Friday', 'Home', '4:2', '2', '26'), ('15.10.2023', '11', '11 th round', 'KLA', 'Sunday', 'Home', '5:4pp', '2', '28'), ('20.10.2023', '12', '12 th round', 'VIT', 'Friday', 'Home', '6:3', '2', '31'), ('22.10.2023', '13', '13 th round', 'OLO', 'Sunday', 'Away', '1:2', '2', '31'), ('27.10.2023', '14', '14 th round', 'PAR', 'Friday', 'Home', '4:1', '1', '34'), ('29.10.2023', '15', '15 th round', 'PLZ', 'Sunday', 'Away', '2:5', '2', '34'), ('31.10.2023', '16', '16 th round', 'BRN', 'Tuesday', 'Home', '6:3', '2', '37'), ('03.11.2023', '17', '17 th round', 'LIB', 'Friday', 'Away', '2:5', '2', '37'), ('05.11.2023', '18', '18 th round', 'HRK', 'Sunday', 'Home', '0:2', '2', '37'), ('17.11.2023', '19', '19 th round', 'MBO', 'Friday', 'Away', '0:5', '3', '37'), ('19.11.2023', '20', '20 th round', 'TRI', 'Sunday', 'Away', '3:2pp', '3', '39'), ('24.11.2023', '21', '21 th round', 'KVA', 'Friday', 'Home', '6:4', '3', '42'), ('26.11.2023', '22', '22 th round', 'BUD', 'Sunday', 'Away', '0:1', '4', '42'), ('28.11.2023', '23', '23 th round', 'SPA', 'Tuesday', 'Away', '1:3', '4', '42'), ('01.12.2023', '24', '24 th round', 'KLA', 'Friday', 'Away', '0:3', '4', '42'), ('03.12.2023', '25', '25 th round', 'VIT', 'Sunday', 'Away', '2:6', '4', '42'), ('08.12.2023', '26', '26 th round', 'OLO', 'Friday', 'Home', '1:2pp', '5', '43'), ('10.12.2023', '27', '27 th round', 'PAR', 'Sunday', 'Away', '4:2', '5', '46'), ('20.12.2023', '28', '28 th round', 'PLZ', 'Wednesday', 'Home', '2:3sn', '5', '47'), ('26.12.2023', '29', '30 th round', 'LIB', 'Tuesday', 'Home', '6:3', '4', '50'), ('28.12.2023', '30', '31 th round', 'HRK', 'Thursday', 'Away', '5:1', '4', '53'), ('30.12.2023', '31', '32 th round', 'MBO', 'Saturday', 'Home', '6:1', '4', '56'), ('03.1.2024', '32', '47 th round', 'KVA', 'Wednesday', 'Home', '1:6', '4', '56'), ('05.1.2024', '33', '33 th round', 'TRI', 'Friday', 'Home', '5:2', '4', '59'), ('07.1.2024', '34', '34 th round', 'KVA', 'Sunday', 'Away', '1:2pp', '4', '60'), ('12.1.2024', '35', '35 th round', 'BUD', 'Friday', 'Home', '4:3pp', '4', '62'), ('14.1.2024', '36', '36 th round', 'SPA', 'Sunday', 'Away', '3:6', '4', '62'), ('17.1.2024', '37', '29 th round', 'BRN', 'Wednesday', 'Away', '1:3', '4', '62'), ('19.1.2024', '38', '37 th round', 'KLA', 'Friday', 'Home', '4:3', '4', '65'), ('21.1.2024', '39', '38 th round', 'VIT', 'Sunday', 'Away', '1:5', '4', '65'), ('23.1.2024', '40', '39 th round', 'OLO', 'Tuesday', 'Home', '4:1', '4', '68'), ('26.1.2024', '41', '40 th round', 'PAR', 'Friday', 'Home', '1:3', '4', '68'), ('28.1.2024', '42', '41 th round', 'PLZ', 'Sunday', 'Away', '5:3', '4', '71'), ('02.2.2024', '43', '42 th round', 'BRN', 'Friday', 'Home', '2:3', '4', '71'), ('04.2.2024', '44', '43 th round', 'LIB', 'Sunday', 'Away', '2:6', '6', '71'), ('14.2.2024', '45', '44 th round', 'HRK', 'Wednesday', 'Home', '5:6pp', '6', '72')</v>
      </c>
    </row>
    <row r="393" spans="1:23" x14ac:dyDescent="0.25">
      <c r="A393" s="2">
        <v>45338</v>
      </c>
      <c r="B393" s="1">
        <v>46</v>
      </c>
      <c r="C393" s="1" t="s">
        <v>133</v>
      </c>
      <c r="D393" s="1" t="s">
        <v>7</v>
      </c>
      <c r="E393" s="1" t="s">
        <v>55</v>
      </c>
      <c r="F393" s="1" t="s">
        <v>155</v>
      </c>
      <c r="G393" s="11" t="s">
        <v>180</v>
      </c>
      <c r="H393" s="1">
        <v>5</v>
      </c>
      <c r="I393" s="1">
        <v>75</v>
      </c>
      <c r="L393" t="s">
        <v>154</v>
      </c>
      <c r="M393" t="str">
        <f>CONCATENATE("(","'",TEXT(A393,"dd.m.rrrrr"),"'",L393,"'",B393,"'",L393,"'",C393,"'",L393,"'",D393,"'",L393,"'",E393,"'",L393,"'",F393,"'",L393,"'",G393,"'",L393,"'",H393,"'",L393,"'",I393,"'",")")</f>
        <v>('16.2.2024', '46', '45 th round', 'MBO', 'Friday', 'Away', '3:2', '5', '75')</v>
      </c>
      <c r="W393" t="str">
        <f t="shared" si="6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'17'), ('04.11.2022', '18', '18 th round', 'KLA', 'Friday', 'Away', '2:3pp', '14', '18'), ('06.11.2022', '19', '19 th round', 'KVA', 'Sunday', 'Home', '5:3', '12', '21'), ('18.11.2022', '20', '20 th round', 'HRK', 'Friday', 'Away', '0:3', '13', '21'), ('20.11.2022', '21', '21 th round', 'BRN', 'Sunday', 'Home', '5:1', '11', '24'), ('25.11.2022', '22', '22 th round', 'TRI', 'Friday', 'Home', '1:2pp', '12', '25'), ('27.11.2022', '23', '23 th round', 'MBO', 'Sunday', 'Away', '4:6', '12', '25'), ('29.11.2022', '24', '24 th round', 'PLZ', 'Tuesday', 'Home', '2:4', '12', '25'), ('04.12.2022', '25', '26 th round', 'OLO', 'Sunday', 'Home', '5:3', '12', '28'), ('06.12.2022', '26', '25 th round', 'PAR', 'Tuesday', 'Away', '0:1', '12', '28'), ('09.12.2022', '27', '27 th round', 'VIT', 'Friday', 'Home', '5:3', '12', '31'), ('11.12.2022', '28', '28 th round', 'SPA', 'Sunday', 'Home', '5:2', '12', '34'), ('20.12.2022', '29', '29 th round', 'LIB', 'Tuesday', 'Home', '3:2sn', '11', '36'), ('22.12.2022', '30', '30 th round', 'BUD', 'Thursday', 'Away', '5:2', '11', '39'), ('26.12.2022', '31', '31 th round', 'KLA', 'Monday', 'Home', '2:3', '11', '39'), ('28.12.2022', '32', '32 th round', 'KVA', 'Wednesday', 'Away', '0:3', '11', '39'), ('30.12.2022', '33', '33 th round', 'HRK', 'Friday', 'Home', '2:3pp', '11', '40'), ('03.1.2023', '34', '34 th round', 'BRN', 'Tuesday', 'Away', '1:3', '12', '40'), ('06.1.2023', '35', '35 th round', 'TRI', 'Friday', 'Away', '2:3pp', '11', '41'), ('08.1.2023', '36', '36 th round', 'MBO', 'Sunday', 'Home', '4:3', '10', '44'), ('13.1.2023', '37', '37 th round', 'PLZ', 'Friday', 'Away', '1:4', '11', '44'), ('15.1.2023', '38', '38 th round', 'PAR', 'Sunday', 'Home', '1:2', '11', '44'), ('20.1.2023', '39', '39 th round', 'OLO', 'Friday', 'Away', '8:1', '10', '47'), ('22.1.2023', '40', '40 th round', 'VIT', 'Sunday', 'Away', '3:2sn', '11', '49'), ('25.1.2023', '41', '41 th round', 'SPA', 'Wednesday', 'Away', '2:3', '12', '49'), ('27.1.2023', '42', '42 th round', 'LIB', 'Friday', 'Away', '1:5', '13', '49'), ('29.1.2023', '43', '43 th round', 'BUD', 'Sunday', 'Home', '1:0sn', '12', '51'), ('03.2.2023', '44', '44 th round', 'KLA', 'Friday', 'Away', '2:5', '12', '51'), ('05.2.2023', '45', '45 th round', 'KVA', 'Sunday', 'Home', '1:2pp', '12', '52'), ('15.2.2023', '46', '46 th round', 'HRK', 'Wednesday', 'Away', '0:3', '12', '52'), ('17.2.2023', '47', '47 th round', 'BRN', 'Friday', 'Home', '3:2sn', '12', '54'), ('19.2.2023', '48', '48 th round', 'TRI', 'Sunday', 'Home', '4:3pp', '12', '56'), ('24.2.2023', '49', '49 th round', 'MBO', 'Friday', 'Away', '2:1', '12', '59'), ('26.2.2023', '50', '50 th round', 'PLZ', 'Sunday', 'Home', '2:1', '11', '62'), ('03.3.2023', '51', '51 th round', 'PAR', 'Friday', 'Away', '3:2sn', '12', '64'), ('05.3.2023', '52', '52 th round', 'OLO', 'Sunday', 'Home', '5:1', '11', '67'), ('08.3.2023', '53', 'Playoff 1st round ', 'TRI', 'Wednesday', 'Away', '1:3', '', ''), ('09.3.2023', '54', 'Playoff 1st round ', 'TRI', 'Thursday', 'Away', '4:5pp', '', ''), ('11.3.2023', '55', 'Playoff 1st round ', 'TRI', 'Saturday', 'Home', '2:4', '', ''), ('15.9.2023', '1', '1st round', 'PAR', 'Friday', 'Away', '1:5', '13', '0'), ('17.9.2023', '2', '2nd round', 'PLZ', 'Sunday', 'Home', '4:2', '10', '3'), ('22.9.2023', '3', '3rd round', 'BRN', 'Friday', 'Away', '3:2', '7', '6'), ('24.9.2023', '4', '4 th round', 'LIB', 'Sunday', 'Home', '4:1', '3', '9'), ('27.9.2023', '5', '5 th round', 'HRK', 'Wednesday', 'Away', '3:2sn', '3', '11'), ('29.9.2023', '6', '6 th round', 'MBO', 'Friday', 'Home', '5:2', '3', '14'), ('01.10.2023', '7', '7 th round', 'TRI', 'Sunday', 'Home', '6:4', '2', '17'), ('06.10.2023', '8', '8 th round', 'KVA', 'Friday', 'Away', '4:1', '2', '20'), ('08.10.2023', '9', '9 th round', 'BUD', 'Sunday', 'Home', '4:3', '2', '23'), ('13.10.2023', '10', '10 th round', 'SPA', 'Friday', 'Home', '4:2', '2', '26'), ('15.10.2023', '11', '11 th round', 'KLA', 'Sunday', 'Home', '5:4pp', '2', '28'), ('20.10.2023', '12', '12 th round', 'VIT', 'Friday', 'Home', '6:3', '2', '31'), ('22.10.2023', '13', '13 th round', 'OLO', 'Sunday', 'Away', '1:2', '2', '31'), ('27.10.2023', '14', '14 th round', 'PAR', 'Friday', 'Home', '4:1', '1', '34'), ('29.10.2023', '15', '15 th round', 'PLZ', 'Sunday', 'Away', '2:5', '2', '34'), ('31.10.2023', '16', '16 th round', 'BRN', 'Tuesday', 'Home', '6:3', '2', '37'), ('03.11.2023', '17', '17 th round', 'LIB', 'Friday', 'Away', '2:5', '2', '37'), ('05.11.2023', '18', '18 th round', 'HRK', 'Sunday', 'Home', '0:2', '2', '37'), ('17.11.2023', '19', '19 th round', 'MBO', 'Friday', 'Away', '0:5', '3', '37'), ('19.11.2023', '20', '20 th round', 'TRI', 'Sunday', 'Away', '3:2pp', '3', '39'), ('24.11.2023', '21', '21 th round', 'KVA', 'Friday', 'Home', '6:4', '3', '42'), ('26.11.2023', '22', '22 th round', 'BUD', 'Sunday', 'Away', '0:1', '4', '42'), ('28.11.2023', '23', '23 th round', 'SPA', 'Tuesday', 'Away', '1:3', '4', '42'), ('01.12.2023', '24', '24 th round', 'KLA', 'Friday', 'Away', '0:3', '4', '42'), ('03.12.2023', '25', '25 th round', 'VIT', 'Sunday', 'Away', '2:6', '4', '42'), ('08.12.2023', '26', '26 th round', 'OLO', 'Friday', 'Home', '1:2pp', '5', '43'), ('10.12.2023', '27', '27 th round', 'PAR', 'Sunday', 'Away', '4:2', '5', '46'), ('20.12.2023', '28', '28 th round', 'PLZ', 'Wednesday', 'Home', '2:3sn', '5', '47'), ('26.12.2023', '29', '30 th round', 'LIB', 'Tuesday', 'Home', '6:3', '4', '50'), ('28.12.2023', '30', '31 th round', 'HRK', 'Thursday', 'Away', '5:1', '4', '53'), ('30.12.2023', '31', '32 th round', 'MBO', 'Saturday', 'Home', '6:1', '4', '56'), ('03.1.2024', '32', '47 th round', 'KVA', 'Wednesday', 'Home', '1:6', '4', '56'), ('05.1.2024', '33', '33 th round', 'TRI', 'Friday', 'Home', '5:2', '4', '59'), ('07.1.2024', '34', '34 th round', 'KVA', 'Sunday', 'Away', '1:2pp', '4', '60'), ('12.1.2024', '35', '35 th round', 'BUD', 'Friday', 'Home', '4:3pp', '4', '62'), ('14.1.2024', '36', '36 th round', 'SPA', 'Sunday', 'Away', '3:6', '4', '62'), ('17.1.2024', '37', '29 th round', 'BRN', 'Wednesday', 'Away', '1:3', '4', '62'), ('19.1.2024', '38', '37 th round', 'KLA', 'Friday', 'Home', '4:3', '4', '65'), ('21.1.2024', '39', '38 th round', 'VIT', 'Sunday', 'Away', '1:5', '4', '65'), ('23.1.2024', '40', '39 th round', 'OLO', 'Tuesday', 'Home', '4:1', '4', '68'), ('26.1.2024', '41', '40 th round', 'PAR', 'Friday', 'Home', '1:3', '4', '68'), ('28.1.2024', '42', '41 th round', 'PLZ', 'Sunday', 'Away', '5:3', '4', '71'), ('02.2.2024', '43', '42 th round', 'BRN', 'Friday', 'Home', '2:3', '4', '71'), ('04.2.2024', '44', '43 th round', 'LIB', 'Sunday', 'Away', '2:6', '6', '71'), ('14.2.2024', '45', '44 th round', 'HRK', 'Wednesday', 'Home', '5:6pp', '6', '72'), ('16.2.2024', '46', '45 th round', 'MBO', 'Friday', 'Away', '3:2', '5', '75')</v>
      </c>
    </row>
    <row r="394" spans="1:23" x14ac:dyDescent="0.25">
      <c r="A394" s="2">
        <v>45340</v>
      </c>
      <c r="B394" s="1">
        <v>47</v>
      </c>
      <c r="C394" s="1" t="s">
        <v>134</v>
      </c>
      <c r="D394" s="1" t="s">
        <v>6</v>
      </c>
      <c r="E394" s="1" t="s">
        <v>57</v>
      </c>
      <c r="F394" s="1" t="s">
        <v>155</v>
      </c>
      <c r="G394" s="11" t="s">
        <v>176</v>
      </c>
      <c r="H394" s="1">
        <v>6</v>
      </c>
      <c r="I394" s="1">
        <v>75</v>
      </c>
      <c r="L394" t="s">
        <v>154</v>
      </c>
      <c r="M394" t="str">
        <f>CONCATENATE("(","'",TEXT(A394,"dd.m.rrrrr"),"'",L394,"'",B394,"'",L394,"'",C394,"'",L394,"'",D394,"'",L394,"'",E394,"'",L394,"'",F394,"'",L394,"'",G394,"'",L394,"'",H394,"'",L394,"'",I394,"'",")")</f>
        <v>('18.2.2024', '47', '46 th round', 'TRI', 'Sunday', 'Away', '2:5', '6', '75')</v>
      </c>
      <c r="W394" t="str">
        <f t="shared" si="6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'17'), ('04.11.2022', '18', '18 th round', 'KLA', 'Friday', 'Away', '2:3pp', '14', '18'), ('06.11.2022', '19', '19 th round', 'KVA', 'Sunday', 'Home', '5:3', '12', '21'), ('18.11.2022', '20', '20 th round', 'HRK', 'Friday', 'Away', '0:3', '13', '21'), ('20.11.2022', '21', '21 th round', 'BRN', 'Sunday', 'Home', '5:1', '11', '24'), ('25.11.2022', '22', '22 th round', 'TRI', 'Friday', 'Home', '1:2pp', '12', '25'), ('27.11.2022', '23', '23 th round', 'MBO', 'Sunday', 'Away', '4:6', '12', '25'), ('29.11.2022', '24', '24 th round', 'PLZ', 'Tuesday', 'Home', '2:4', '12', '25'), ('04.12.2022', '25', '26 th round', 'OLO', 'Sunday', 'Home', '5:3', '12', '28'), ('06.12.2022', '26', '25 th round', 'PAR', 'Tuesday', 'Away', '0:1', '12', '28'), ('09.12.2022', '27', '27 th round', 'VIT', 'Friday', 'Home', '5:3', '12', '31'), ('11.12.2022', '28', '28 th round', 'SPA', 'Sunday', 'Home', '5:2', '12', '34'), ('20.12.2022', '29', '29 th round', 'LIB', 'Tuesday', 'Home', '3:2sn', '11', '36'), ('22.12.2022', '30', '30 th round', 'BUD', 'Thursday', 'Away', '5:2', '11', '39'), ('26.12.2022', '31', '31 th round', 'KLA', 'Monday', 'Home', '2:3', '11', '39'), ('28.12.2022', '32', '32 th round', 'KVA', 'Wednesday', 'Away', '0:3', '11', '39'), ('30.12.2022', '33', '33 th round', 'HRK', 'Friday', 'Home', '2:3pp', '11', '40'), ('03.1.2023', '34', '34 th round', 'BRN', 'Tuesday', 'Away', '1:3', '12', '40'), ('06.1.2023', '35', '35 th round', 'TRI', 'Friday', 'Away', '2:3pp', '11', '41'), ('08.1.2023', '36', '36 th round', 'MBO', 'Sunday', 'Home', '4:3', '10', '44'), ('13.1.2023', '37', '37 th round', 'PLZ', 'Friday', 'Away', '1:4', '11', '44'), ('15.1.2023', '38', '38 th round', 'PAR', 'Sunday', 'Home', '1:2', '11', '44'), ('20.1.2023', '39', '39 th round', 'OLO', 'Friday', 'Away', '8:1', '10', '47'), ('22.1.2023', '40', '40 th round', 'VIT', 'Sunday', 'Away', '3:2sn', '11', '49'), ('25.1.2023', '41', '41 th round', 'SPA', 'Wednesday', 'Away', '2:3', '12', '49'), ('27.1.2023', '42', '42 th round', 'LIB', 'Friday', 'Away', '1:5', '13', '49'), ('29.1.2023', '43', '43 th round', 'BUD', 'Sunday', 'Home', '1:0sn', '12', '51'), ('03.2.2023', '44', '44 th round', 'KLA', 'Friday', 'Away', '2:5', '12', '51'), ('05.2.2023', '45', '45 th round', 'KVA', 'Sunday', 'Home', '1:2pp', '12', '52'), ('15.2.2023', '46', '46 th round', 'HRK', 'Wednesday', 'Away', '0:3', '12', '52'), ('17.2.2023', '47', '47 th round', 'BRN', 'Friday', 'Home', '3:2sn', '12', '54'), ('19.2.2023', '48', '48 th round', 'TRI', 'Sunday', 'Home', '4:3pp', '12', '56'), ('24.2.2023', '49', '49 th round', 'MBO', 'Friday', 'Away', '2:1', '12', '59'), ('26.2.2023', '50', '50 th round', 'PLZ', 'Sunday', 'Home', '2:1', '11', '62'), ('03.3.2023', '51', '51 th round', 'PAR', 'Friday', 'Away', '3:2sn', '12', '64'), ('05.3.2023', '52', '52 th round', 'OLO', 'Sunday', 'Home', '5:1', '11', '67'), ('08.3.2023', '53', 'Playoff 1st round ', 'TRI', 'Wednesday', 'Away', '1:3', '', ''), ('09.3.2023', '54', 'Playoff 1st round ', 'TRI', 'Thursday', 'Away', '4:5pp', '', ''), ('11.3.2023', '55', 'Playoff 1st round ', 'TRI', 'Saturday', 'Home', '2:4', '', ''), ('15.9.2023', '1', '1st round', 'PAR', 'Friday', 'Away', '1:5', '13', '0'), ('17.9.2023', '2', '2nd round', 'PLZ', 'Sunday', 'Home', '4:2', '10', '3'), ('22.9.2023', '3', '3rd round', 'BRN', 'Friday', 'Away', '3:2', '7', '6'), ('24.9.2023', '4', '4 th round', 'LIB', 'Sunday', 'Home', '4:1', '3', '9'), ('27.9.2023', '5', '5 th round', 'HRK', 'Wednesday', 'Away', '3:2sn', '3', '11'), ('29.9.2023', '6', '6 th round', 'MBO', 'Friday', 'Home', '5:2', '3', '14'), ('01.10.2023', '7', '7 th round', 'TRI', 'Sunday', 'Home', '6:4', '2', '17'), ('06.10.2023', '8', '8 th round', 'KVA', 'Friday', 'Away', '4:1', '2', '20'), ('08.10.2023', '9', '9 th round', 'BUD', 'Sunday', 'Home', '4:3', '2', '23'), ('13.10.2023', '10', '10 th round', 'SPA', 'Friday', 'Home', '4:2', '2', '26'), ('15.10.2023', '11', '11 th round', 'KLA', 'Sunday', 'Home', '5:4pp', '2', '28'), ('20.10.2023', '12', '12 th round', 'VIT', 'Friday', 'Home', '6:3', '2', '31'), ('22.10.2023', '13', '13 th round', 'OLO', 'Sunday', 'Away', '1:2', '2', '31'), ('27.10.2023', '14', '14 th round', 'PAR', 'Friday', 'Home', '4:1', '1', '34'), ('29.10.2023', '15', '15 th round', 'PLZ', 'Sunday', 'Away', '2:5', '2', '34'), ('31.10.2023', '16', '16 th round', 'BRN', 'Tuesday', 'Home', '6:3', '2', '37'), ('03.11.2023', '17', '17 th round', 'LIB', 'Friday', 'Away', '2:5', '2', '37'), ('05.11.2023', '18', '18 th round', 'HRK', 'Sunday', 'Home', '0:2', '2', '37'), ('17.11.2023', '19', '19 th round', 'MBO', 'Friday', 'Away', '0:5', '3', '37'), ('19.11.2023', '20', '20 th round', 'TRI', 'Sunday', 'Away', '3:2pp', '3', '39'), ('24.11.2023', '21', '21 th round', 'KVA', 'Friday', 'Home', '6:4', '3', '42'), ('26.11.2023', '22', '22 th round', 'BUD', 'Sunday', 'Away', '0:1', '4', '42'), ('28.11.2023', '23', '23 th round', 'SPA', 'Tuesday', 'Away', '1:3', '4', '42'), ('01.12.2023', '24', '24 th round', 'KLA', 'Friday', 'Away', '0:3', '4', '42'), ('03.12.2023', '25', '25 th round', 'VIT', 'Sunday', 'Away', '2:6', '4', '42'), ('08.12.2023', '26', '26 th round', 'OLO', 'Friday', 'Home', '1:2pp', '5', '43'), ('10.12.2023', '27', '27 th round', 'PAR', 'Sunday', 'Away', '4:2', '5', '46'), ('20.12.2023', '28', '28 th round', 'PLZ', 'Wednesday', 'Home', '2:3sn', '5', '47'), ('26.12.2023', '29', '30 th round', 'LIB', 'Tuesday', 'Home', '6:3', '4', '50'), ('28.12.2023', '30', '31 th round', 'HRK', 'Thursday', 'Away', '5:1', '4', '53'), ('30.12.2023', '31', '32 th round', 'MBO', 'Saturday', 'Home', '6:1', '4', '56'), ('03.1.2024', '32', '47 th round', 'KVA', 'Wednesday', 'Home', '1:6', '4', '56'), ('05.1.2024', '33', '33 th round', 'TRI', 'Friday', 'Home', '5:2', '4', '59'), ('07.1.2024', '34', '34 th round', 'KVA', 'Sunday', 'Away', '1:2pp', '4', '60'), ('12.1.2024', '35', '35 th round', 'BUD', 'Friday', 'Home', '4:3pp', '4', '62'), ('14.1.2024', '36', '36 th round', 'SPA', 'Sunday', 'Away', '3:6', '4', '62'), ('17.1.2024', '37', '29 th round', 'BRN', 'Wednesday', 'Away', '1:3', '4', '62'), ('19.1.2024', '38', '37 th round', 'KLA', 'Friday', 'Home', '4:3', '4', '65'), ('21.1.2024', '39', '38 th round', 'VIT', 'Sunday', 'Away', '1:5', '4', '65'), ('23.1.2024', '40', '39 th round', 'OLO', 'Tuesday', 'Home', '4:1', '4', '68'), ('26.1.2024', '41', '40 th round', 'PAR', 'Friday', 'Home', '1:3', '4', '68'), ('28.1.2024', '42', '41 th round', 'PLZ', 'Sunday', 'Away', '5:3', '4', '71'), ('02.2.2024', '43', '42 th round', 'BRN', 'Friday', 'Home', '2:3', '4', '71'), ('04.2.2024', '44', '43 th round', 'LIB', 'Sunday', 'Away', '2:6', '6', '71'), ('14.2.2024', '45', '44 th round', 'HRK', 'Wednesday', 'Home', '5:6pp', '6', '72'), ('16.2.2024', '46', '45 th round', 'MBO', 'Friday', 'Away', '3:2', '5', '75'), ('18.2.2024', '47', '46 th round', 'TRI', 'Sunday', 'Away', '2:5', '6', '75')</v>
      </c>
    </row>
    <row r="395" spans="1:23" x14ac:dyDescent="0.25">
      <c r="A395" s="2">
        <v>45345</v>
      </c>
      <c r="B395" s="1">
        <v>48</v>
      </c>
      <c r="C395" s="1" t="s">
        <v>136</v>
      </c>
      <c r="D395" s="1" t="s">
        <v>36</v>
      </c>
      <c r="E395" s="1" t="s">
        <v>55</v>
      </c>
      <c r="F395" s="1" t="s">
        <v>155</v>
      </c>
      <c r="G395" s="11" t="s">
        <v>207</v>
      </c>
      <c r="H395" s="1">
        <v>4</v>
      </c>
      <c r="I395" s="1">
        <v>78</v>
      </c>
      <c r="L395" t="s">
        <v>154</v>
      </c>
      <c r="M395" t="str">
        <f>CONCATENATE("(","'",TEXT(A395,"dd.m.rrrrr"),"'",L395,"'",B395,"'",L395,"'",C395,"'",L395,"'",D395,"'",L395,"'",E395,"'",L395,"'",F395,"'",L395,"'",G395,"'",L395,"'",H395,"'",L395,"'",I395,"'",")")</f>
        <v>('23.2.2024', '48', '48 th round', 'BUD', 'Friday', 'Away', '7:4', '4', '78')</v>
      </c>
      <c r="W395" t="str">
        <f t="shared" si="6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'17'), ('04.11.2022', '18', '18 th round', 'KLA', 'Friday', 'Away', '2:3pp', '14', '18'), ('06.11.2022', '19', '19 th round', 'KVA', 'Sunday', 'Home', '5:3', '12', '21'), ('18.11.2022', '20', '20 th round', 'HRK', 'Friday', 'Away', '0:3', '13', '21'), ('20.11.2022', '21', '21 th round', 'BRN', 'Sunday', 'Home', '5:1', '11', '24'), ('25.11.2022', '22', '22 th round', 'TRI', 'Friday', 'Home', '1:2pp', '12', '25'), ('27.11.2022', '23', '23 th round', 'MBO', 'Sunday', 'Away', '4:6', '12', '25'), ('29.11.2022', '24', '24 th round', 'PLZ', 'Tuesday', 'Home', '2:4', '12', '25'), ('04.12.2022', '25', '26 th round', 'OLO', 'Sunday', 'Home', '5:3', '12', '28'), ('06.12.2022', '26', '25 th round', 'PAR', 'Tuesday', 'Away', '0:1', '12', '28'), ('09.12.2022', '27', '27 th round', 'VIT', 'Friday', 'Home', '5:3', '12', '31'), ('11.12.2022', '28', '28 th round', 'SPA', 'Sunday', 'Home', '5:2', '12', '34'), ('20.12.2022', '29', '29 th round', 'LIB', 'Tuesday', 'Home', '3:2sn', '11', '36'), ('22.12.2022', '30', '30 th round', 'BUD', 'Thursday', 'Away', '5:2', '11', '39'), ('26.12.2022', '31', '31 th round', 'KLA', 'Monday', 'Home', '2:3', '11', '39'), ('28.12.2022', '32', '32 th round', 'KVA', 'Wednesday', 'Away', '0:3', '11', '39'), ('30.12.2022', '33', '33 th round', 'HRK', 'Friday', 'Home', '2:3pp', '11', '40'), ('03.1.2023', '34', '34 th round', 'BRN', 'Tuesday', 'Away', '1:3', '12', '40'), ('06.1.2023', '35', '35 th round', 'TRI', 'Friday', 'Away', '2:3pp', '11', '41'), ('08.1.2023', '36', '36 th round', 'MBO', 'Sunday', 'Home', '4:3', '10', '44'), ('13.1.2023', '37', '37 th round', 'PLZ', 'Friday', 'Away', '1:4', '11', '44'), ('15.1.2023', '38', '38 th round', 'PAR', 'Sunday', 'Home', '1:2', '11', '44'), ('20.1.2023', '39', '39 th round', 'OLO', 'Friday', 'Away', '8:1', '10', '47'), ('22.1.2023', '40', '40 th round', 'VIT', 'Sunday', 'Away', '3:2sn', '11', '49'), ('25.1.2023', '41', '41 th round', 'SPA', 'Wednesday', 'Away', '2:3', '12', '49'), ('27.1.2023', '42', '42 th round', 'LIB', 'Friday', 'Away', '1:5', '13', '49'), ('29.1.2023', '43', '43 th round', 'BUD', 'Sunday', 'Home', '1:0sn', '12', '51'), ('03.2.2023', '44', '44 th round', 'KLA', 'Friday', 'Away', '2:5', '12', '51'), ('05.2.2023', '45', '45 th round', 'KVA', 'Sunday', 'Home', '1:2pp', '12', '52'), ('15.2.2023', '46', '46 th round', 'HRK', 'Wednesday', 'Away', '0:3', '12', '52'), ('17.2.2023', '47', '47 th round', 'BRN', 'Friday', 'Home', '3:2sn', '12', '54'), ('19.2.2023', '48', '48 th round', 'TRI', 'Sunday', 'Home', '4:3pp', '12', '56'), ('24.2.2023', '49', '49 th round', 'MBO', 'Friday', 'Away', '2:1', '12', '59'), ('26.2.2023', '50', '50 th round', 'PLZ', 'Sunday', 'Home', '2:1', '11', '62'), ('03.3.2023', '51', '51 th round', 'PAR', 'Friday', 'Away', '3:2sn', '12', '64'), ('05.3.2023', '52', '52 th round', 'OLO', 'Sunday', 'Home', '5:1', '11', '67'), ('08.3.2023', '53', 'Playoff 1st round ', 'TRI', 'Wednesday', 'Away', '1:3', '', ''), ('09.3.2023', '54', 'Playoff 1st round ', 'TRI', 'Thursday', 'Away', '4:5pp', '', ''), ('11.3.2023', '55', 'Playoff 1st round ', 'TRI', 'Saturday', 'Home', '2:4', '', ''), ('15.9.2023', '1', '1st round', 'PAR', 'Friday', 'Away', '1:5', '13', '0'), ('17.9.2023', '2', '2nd round', 'PLZ', 'Sunday', 'Home', '4:2', '10', '3'), ('22.9.2023', '3', '3rd round', 'BRN', 'Friday', 'Away', '3:2', '7', '6'), ('24.9.2023', '4', '4 th round', 'LIB', 'Sunday', 'Home', '4:1', '3', '9'), ('27.9.2023', '5', '5 th round', 'HRK', 'Wednesday', 'Away', '3:2sn', '3', '11'), ('29.9.2023', '6', '6 th round', 'MBO', 'Friday', 'Home', '5:2', '3', '14'), ('01.10.2023', '7', '7 th round', 'TRI', 'Sunday', 'Home', '6:4', '2', '17'), ('06.10.2023', '8', '8 th round', 'KVA', 'Friday', 'Away', '4:1', '2', '20'), ('08.10.2023', '9', '9 th round', 'BUD', 'Sunday', 'Home', '4:3', '2', '23'), ('13.10.2023', '10', '10 th round', 'SPA', 'Friday', 'Home', '4:2', '2', '26'), ('15.10.2023', '11', '11 th round', 'KLA', 'Sunday', 'Home', '5:4pp', '2', '28'), ('20.10.2023', '12', '12 th round', 'VIT', 'Friday', 'Home', '6:3', '2', '31'), ('22.10.2023', '13', '13 th round', 'OLO', 'Sunday', 'Away', '1:2', '2', '31'), ('27.10.2023', '14', '14 th round', 'PAR', 'Friday', 'Home', '4:1', '1', '34'), ('29.10.2023', '15', '15 th round', 'PLZ', 'Sunday', 'Away', '2:5', '2', '34'), ('31.10.2023', '16', '16 th round', 'BRN', 'Tuesday', 'Home', '6:3', '2', '37'), ('03.11.2023', '17', '17 th round', 'LIB', 'Friday', 'Away', '2:5', '2', '37'), ('05.11.2023', '18', '18 th round', 'HRK', 'Sunday', 'Home', '0:2', '2', '37'), ('17.11.2023', '19', '19 th round', 'MBO', 'Friday', 'Away', '0:5', '3', '37'), ('19.11.2023', '20', '20 th round', 'TRI', 'Sunday', 'Away', '3:2pp', '3', '39'), ('24.11.2023', '21', '21 th round', 'KVA', 'Friday', 'Home', '6:4', '3', '42'), ('26.11.2023', '22', '22 th round', 'BUD', 'Sunday', 'Away', '0:1', '4', '42'), ('28.11.2023', '23', '23 th round', 'SPA', 'Tuesday', 'Away', '1:3', '4', '42'), ('01.12.2023', '24', '24 th round', 'KLA', 'Friday', 'Away', '0:3', '4', '42'), ('03.12.2023', '25', '25 th round', 'VIT', 'Sunday', 'Away', '2:6', '4', '42'), ('08.12.2023', '26', '26 th round', 'OLO', 'Friday', 'Home', '1:2pp', '5', '43'), ('10.12.2023', '27', '27 th round', 'PAR', 'Sunday', 'Away', '4:2', '5', '46'), ('20.12.2023', '28', '28 th round', 'PLZ', 'Wednesday', 'Home', '2:3sn', '5', '47'), ('26.12.2023', '29', '30 th round', 'LIB', 'Tuesday', 'Home', '6:3', '4', '50'), ('28.12.2023', '30', '31 th round', 'HRK', 'Thursday', 'Away', '5:1', '4', '53'), ('30.12.2023', '31', '32 th round', 'MBO', 'Saturday', 'Home', '6:1', '4', '56'), ('03.1.2024', '32', '47 th round', 'KVA', 'Wednesday', 'Home', '1:6', '4', '56'), ('05.1.2024', '33', '33 th round', 'TRI', 'Friday', 'Home', '5:2', '4', '59'), ('07.1.2024', '34', '34 th round', 'KVA', 'Sunday', 'Away', '1:2pp', '4', '60'), ('12.1.2024', '35', '35 th round', 'BUD', 'Friday', 'Home', '4:3pp', '4', '62'), ('14.1.2024', '36', '36 th round', 'SPA', 'Sunday', 'Away', '3:6', '4', '62'), ('17.1.2024', '37', '29 th round', 'BRN', 'Wednesday', 'Away', '1:3', '4', '62'), ('19.1.2024', '38', '37 th round', 'KLA', 'Friday', 'Home', '4:3', '4', '65'), ('21.1.2024', '39', '38 th round', 'VIT', 'Sunday', 'Away', '1:5', '4', '65'), ('23.1.2024', '40', '39 th round', 'OLO', 'Tuesday', 'Home', '4:1', '4', '68'), ('26.1.2024', '41', '40 th round', 'PAR', 'Friday', 'Home', '1:3', '4', '68'), ('28.1.2024', '42', '41 th round', 'PLZ', 'Sunday', 'Away', '5:3', '4', '71'), ('02.2.2024', '43', '42 th round', 'BRN', 'Friday', 'Home', '2:3', '4', '71'), ('04.2.2024', '44', '43 th round', 'LIB', 'Sunday', 'Away', '2:6', '6', '71'), ('14.2.2024', '45', '44 th round', 'HRK', 'Wednesday', 'Home', '5:6pp', '6', '72'), ('16.2.2024', '46', '45 th round', 'MBO', 'Friday', 'Away', '3:2', '5', '75'), ('18.2.2024', '47', '46 th round', 'TRI', 'Sunday', 'Away', '2:5', '6', '75'), ('23.2.2024', '48', '48 th round', 'BUD', 'Friday', 'Away', '7:4', '4', '78')</v>
      </c>
    </row>
    <row r="396" spans="1:23" x14ac:dyDescent="0.25">
      <c r="A396" s="2">
        <v>45347</v>
      </c>
      <c r="B396" s="1">
        <v>49</v>
      </c>
      <c r="C396" s="1" t="s">
        <v>137</v>
      </c>
      <c r="D396" s="1" t="s">
        <v>3</v>
      </c>
      <c r="E396" s="1" t="s">
        <v>57</v>
      </c>
      <c r="F396" s="1" t="s">
        <v>157</v>
      </c>
      <c r="G396" s="11" t="s">
        <v>185</v>
      </c>
      <c r="H396" s="1">
        <v>5</v>
      </c>
      <c r="I396" s="1">
        <v>78</v>
      </c>
      <c r="L396" t="s">
        <v>154</v>
      </c>
      <c r="M396" t="str">
        <f>CONCATENATE("(","'",TEXT(A396,"dd.m.rrrrr"),"'",L396,"'",B396,"'",L396,"'",C396,"'",L396,"'",D396,"'",L396,"'",E396,"'",L396,"'",F396,"'",L396,"'",G396,"'",L396,"'",H396,"'",L396,"'",I396,"'",")")</f>
        <v>('25.2.2024', '49', '49 th round', 'SPA', 'Sunday', 'Home', '3:8', '5', '78')</v>
      </c>
      <c r="W396" t="str">
        <f t="shared" si="6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'17'), ('04.11.2022', '18', '18 th round', 'KLA', 'Friday', 'Away', '2:3pp', '14', '18'), ('06.11.2022', '19', '19 th round', 'KVA', 'Sunday', 'Home', '5:3', '12', '21'), ('18.11.2022', '20', '20 th round', 'HRK', 'Friday', 'Away', '0:3', '13', '21'), ('20.11.2022', '21', '21 th round', 'BRN', 'Sunday', 'Home', '5:1', '11', '24'), ('25.11.2022', '22', '22 th round', 'TRI', 'Friday', 'Home', '1:2pp', '12', '25'), ('27.11.2022', '23', '23 th round', 'MBO', 'Sunday', 'Away', '4:6', '12', '25'), ('29.11.2022', '24', '24 th round', 'PLZ', 'Tuesday', 'Home', '2:4', '12', '25'), ('04.12.2022', '25', '26 th round', 'OLO', 'Sunday', 'Home', '5:3', '12', '28'), ('06.12.2022', '26', '25 th round', 'PAR', 'Tuesday', 'Away', '0:1', '12', '28'), ('09.12.2022', '27', '27 th round', 'VIT', 'Friday', 'Home', '5:3', '12', '31'), ('11.12.2022', '28', '28 th round', 'SPA', 'Sunday', 'Home', '5:2', '12', '34'), ('20.12.2022', '29', '29 th round', 'LIB', 'Tuesday', 'Home', '3:2sn', '11', '36'), ('22.12.2022', '30', '30 th round', 'BUD', 'Thursday', 'Away', '5:2', '11', '39'), ('26.12.2022', '31', '31 th round', 'KLA', 'Monday', 'Home', '2:3', '11', '39'), ('28.12.2022', '32', '32 th round', 'KVA', 'Wednesday', 'Away', '0:3', '11', '39'), ('30.12.2022', '33', '33 th round', 'HRK', 'Friday', 'Home', '2:3pp', '11', '40'), ('03.1.2023', '34', '34 th round', 'BRN', 'Tuesday', 'Away', '1:3', '12', '40'), ('06.1.2023', '35', '35 th round', 'TRI', 'Friday', 'Away', '2:3pp', '11', '41'), ('08.1.2023', '36', '36 th round', 'MBO', 'Sunday', 'Home', '4:3', '10', '44'), ('13.1.2023', '37', '37 th round', 'PLZ', 'Friday', 'Away', '1:4', '11', '44'), ('15.1.2023', '38', '38 th round', 'PAR', 'Sunday', 'Home', '1:2', '11', '44'), ('20.1.2023', '39', '39 th round', 'OLO', 'Friday', 'Away', '8:1', '10', '47'), ('22.1.2023', '40', '40 th round', 'VIT', 'Sunday', 'Away', '3:2sn', '11', '49'), ('25.1.2023', '41', '41 th round', 'SPA', 'Wednesday', 'Away', '2:3', '12', '49'), ('27.1.2023', '42', '42 th round', 'LIB', 'Friday', 'Away', '1:5', '13', '49'), ('29.1.2023', '43', '43 th round', 'BUD', 'Sunday', 'Home', '1:0sn', '12', '51'), ('03.2.2023', '44', '44 th round', 'KLA', 'Friday', 'Away', '2:5', '12', '51'), ('05.2.2023', '45', '45 th round', 'KVA', 'Sunday', 'Home', '1:2pp', '12', '52'), ('15.2.2023', '46', '46 th round', 'HRK', 'Wednesday', 'Away', '0:3', '12', '52'), ('17.2.2023', '47', '47 th round', 'BRN', 'Friday', 'Home', '3:2sn', '12', '54'), ('19.2.2023', '48', '48 th round', 'TRI', 'Sunday', 'Home', '4:3pp', '12', '56'), ('24.2.2023', '49', '49 th round', 'MBO', 'Friday', 'Away', '2:1', '12', '59'), ('26.2.2023', '50', '50 th round', 'PLZ', 'Sunday', 'Home', '2:1', '11', '62'), ('03.3.2023', '51', '51 th round', 'PAR', 'Friday', 'Away', '3:2sn', '12', '64'), ('05.3.2023', '52', '52 th round', 'OLO', 'Sunday', 'Home', '5:1', '11', '67'), ('08.3.2023', '53', 'Playoff 1st round ', 'TRI', 'Wednesday', 'Away', '1:3', '', ''), ('09.3.2023', '54', 'Playoff 1st round ', 'TRI', 'Thursday', 'Away', '4:5pp', '', ''), ('11.3.2023', '55', 'Playoff 1st round ', 'TRI', 'Saturday', 'Home', '2:4', '', ''), ('15.9.2023', '1', '1st round', 'PAR', 'Friday', 'Away', '1:5', '13', '0'), ('17.9.2023', '2', '2nd round', 'PLZ', 'Sunday', 'Home', '4:2', '10', '3'), ('22.9.2023', '3', '3rd round', 'BRN', 'Friday', 'Away', '3:2', '7', '6'), ('24.9.2023', '4', '4 th round', 'LIB', 'Sunday', 'Home', '4:1', '3', '9'), ('27.9.2023', '5', '5 th round', 'HRK', 'Wednesday', 'Away', '3:2sn', '3', '11'), ('29.9.2023', '6', '6 th round', 'MBO', 'Friday', 'Home', '5:2', '3', '14'), ('01.10.2023', '7', '7 th round', 'TRI', 'Sunday', 'Home', '6:4', '2', '17'), ('06.10.2023', '8', '8 th round', 'KVA', 'Friday', 'Away', '4:1', '2', '20'), ('08.10.2023', '9', '9 th round', 'BUD', 'Sunday', 'Home', '4:3', '2', '23'), ('13.10.2023', '10', '10 th round', 'SPA', 'Friday', 'Home', '4:2', '2', '26'), ('15.10.2023', '11', '11 th round', 'KLA', 'Sunday', 'Home', '5:4pp', '2', '28'), ('20.10.2023', '12', '12 th round', 'VIT', 'Friday', 'Home', '6:3', '2', '31'), ('22.10.2023', '13', '13 th round', 'OLO', 'Sunday', 'Away', '1:2', '2', '31'), ('27.10.2023', '14', '14 th round', 'PAR', 'Friday', 'Home', '4:1', '1', '34'), ('29.10.2023', '15', '15 th round', 'PLZ', 'Sunday', 'Away', '2:5', '2', '34'), ('31.10.2023', '16', '16 th round', 'BRN', 'Tuesday', 'Home', '6:3', '2', '37'), ('03.11.2023', '17', '17 th round', 'LIB', 'Friday', 'Away', '2:5', '2', '37'), ('05.11.2023', '18', '18 th round', 'HRK', 'Sunday', 'Home', '0:2', '2', '37'), ('17.11.2023', '19', '19 th round', 'MBO', 'Friday', 'Away', '0:5', '3', '37'), ('19.11.2023', '20', '20 th round', 'TRI', 'Sunday', 'Away', '3:2pp', '3', '39'), ('24.11.2023', '21', '21 th round', 'KVA', 'Friday', 'Home', '6:4', '3', '42'), ('26.11.2023', '22', '22 th round', 'BUD', 'Sunday', 'Away', '0:1', '4', '42'), ('28.11.2023', '23', '23 th round', 'SPA', 'Tuesday', 'Away', '1:3', '4', '42'), ('01.12.2023', '24', '24 th round', 'KLA', 'Friday', 'Away', '0:3', '4', '42'), ('03.12.2023', '25', '25 th round', 'VIT', 'Sunday', 'Away', '2:6', '4', '42'), ('08.12.2023', '26', '26 th round', 'OLO', 'Friday', 'Home', '1:2pp', '5', '43'), ('10.12.2023', '27', '27 th round', 'PAR', 'Sunday', 'Away', '4:2', '5', '46'), ('20.12.2023', '28', '28 th round', 'PLZ', 'Wednesday', 'Home', '2:3sn', '5', '47'), ('26.12.2023', '29', '30 th round', 'LIB', 'Tuesday', 'Home', '6:3', '4', '50'), ('28.12.2023', '30', '31 th round', 'HRK', 'Thursday', 'Away', '5:1', '4', '53'), ('30.12.2023', '31', '32 th round', 'MBO', 'Saturday', 'Home', '6:1', '4', '56'), ('03.1.2024', '32', '47 th round', 'KVA', 'Wednesday', 'Home', '1:6', '4', '56'), ('05.1.2024', '33', '33 th round', 'TRI', 'Friday', 'Home', '5:2', '4', '59'), ('07.1.2024', '34', '34 th round', 'KVA', 'Sunday', 'Away', '1:2pp', '4', '60'), ('12.1.2024', '35', '35 th round', 'BUD', 'Friday', 'Home', '4:3pp', '4', '62'), ('14.1.2024', '36', '36 th round', 'SPA', 'Sunday', 'Away', '3:6', '4', '62'), ('17.1.2024', '37', '29 th round', 'BRN', 'Wednesday', 'Away', '1:3', '4', '62'), ('19.1.2024', '38', '37 th round', 'KLA', 'Friday', 'Home', '4:3', '4', '65'), ('21.1.2024', '39', '38 th round', 'VIT', 'Sunday', 'Away', '1:5', '4', '65'), ('23.1.2024', '40', '39 th round', 'OLO', 'Tuesday', 'Home', '4:1', '4', '68'), ('26.1.2024', '41', '40 th round', 'PAR', 'Friday', 'Home', '1:3', '4', '68'), ('28.1.2024', '42', '41 th round', 'PLZ', 'Sunday', 'Away', '5:3', '4', '71'), ('02.2.2024', '43', '42 th round', 'BRN', 'Friday', 'Home', '2:3', '4', '71'), ('04.2.2024', '44', '43 th round', 'LIB', 'Sunday', 'Away', '2:6', '6', '71'), ('14.2.2024', '45', '44 th round', 'HRK', 'Wednesday', 'Home', '5:6pp', '6', '72'), ('16.2.2024', '46', '45 th round', 'MBO', 'Friday', 'Away', '3:2', '5', '75'), ('18.2.2024', '47', '46 th round', 'TRI', 'Sunday', 'Away', '2:5', '6', '75'), ('23.2.2024', '48', '48 th round', 'BUD', 'Friday', 'Away', '7:4', '4', '78'), ('25.2.2024', '49', '49 th round', 'SPA', 'Sunday', 'Home', '3:8', '5', '78')</v>
      </c>
    </row>
    <row r="397" spans="1:23" x14ac:dyDescent="0.25">
      <c r="A397" s="2">
        <v>45349</v>
      </c>
      <c r="B397" s="1">
        <v>50</v>
      </c>
      <c r="C397" s="1" t="s">
        <v>138</v>
      </c>
      <c r="D397" s="1" t="s">
        <v>28</v>
      </c>
      <c r="E397" s="1" t="s">
        <v>59</v>
      </c>
      <c r="F397" s="1" t="s">
        <v>155</v>
      </c>
      <c r="G397" s="11" t="s">
        <v>162</v>
      </c>
      <c r="H397" s="1">
        <v>7</v>
      </c>
      <c r="I397" s="1">
        <v>78</v>
      </c>
      <c r="L397" t="s">
        <v>154</v>
      </c>
      <c r="M397" t="str">
        <f>CONCATENATE("(","'",TEXT(A397,"dd.m.rrrrr"),"'",L397,"'",B397,"'",L397,"'",C397,"'",L397,"'",D397,"'",L397,"'",E397,"'",L397,"'",F397,"'",L397,"'",G397,"'",L397,"'",H397,"'",L397,"'",I397,"'",")")</f>
        <v>('27.2.2024', '50', '50 th round', 'KLA', 'Tuesday', 'Away', '0:2', '7', '78')</v>
      </c>
      <c r="W397" t="str">
        <f t="shared" si="6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'17'), ('04.11.2022', '18', '18 th round', 'KLA', 'Friday', 'Away', '2:3pp', '14', '18'), ('06.11.2022', '19', '19 th round', 'KVA', 'Sunday', 'Home', '5:3', '12', '21'), ('18.11.2022', '20', '20 th round', 'HRK', 'Friday', 'Away', '0:3', '13', '21'), ('20.11.2022', '21', '21 th round', 'BRN', 'Sunday', 'Home', '5:1', '11', '24'), ('25.11.2022', '22', '22 th round', 'TRI', 'Friday', 'Home', '1:2pp', '12', '25'), ('27.11.2022', '23', '23 th round', 'MBO', 'Sunday', 'Away', '4:6', '12', '25'), ('29.11.2022', '24', '24 th round', 'PLZ', 'Tuesday', 'Home', '2:4', '12', '25'), ('04.12.2022', '25', '26 th round', 'OLO', 'Sunday', 'Home', '5:3', '12', '28'), ('06.12.2022', '26', '25 th round', 'PAR', 'Tuesday', 'Away', '0:1', '12', '28'), ('09.12.2022', '27', '27 th round', 'VIT', 'Friday', 'Home', '5:3', '12', '31'), ('11.12.2022', '28', '28 th round', 'SPA', 'Sunday', 'Home', '5:2', '12', '34'), ('20.12.2022', '29', '29 th round', 'LIB', 'Tuesday', 'Home', '3:2sn', '11', '36'), ('22.12.2022', '30', '30 th round', 'BUD', 'Thursday', 'Away', '5:2', '11', '39'), ('26.12.2022', '31', '31 th round', 'KLA', 'Monday', 'Home', '2:3', '11', '39'), ('28.12.2022', '32', '32 th round', 'KVA', 'Wednesday', 'Away', '0:3', '11', '39'), ('30.12.2022', '33', '33 th round', 'HRK', 'Friday', 'Home', '2:3pp', '11', '40'), ('03.1.2023', '34', '34 th round', 'BRN', 'Tuesday', 'Away', '1:3', '12', '40'), ('06.1.2023', '35', '35 th round', 'TRI', 'Friday', 'Away', '2:3pp', '11', '41'), ('08.1.2023', '36', '36 th round', 'MBO', 'Sunday', 'Home', '4:3', '10', '44'), ('13.1.2023', '37', '37 th round', 'PLZ', 'Friday', 'Away', '1:4', '11', '44'), ('15.1.2023', '38', '38 th round', 'PAR', 'Sunday', 'Home', '1:2', '11', '44'), ('20.1.2023', '39', '39 th round', 'OLO', 'Friday', 'Away', '8:1', '10', '47'), ('22.1.2023', '40', '40 th round', 'VIT', 'Sunday', 'Away', '3:2sn', '11', '49'), ('25.1.2023', '41', '41 th round', 'SPA', 'Wednesday', 'Away', '2:3', '12', '49'), ('27.1.2023', '42', '42 th round', 'LIB', 'Friday', 'Away', '1:5', '13', '49'), ('29.1.2023', '43', '43 th round', 'BUD', 'Sunday', 'Home', '1:0sn', '12', '51'), ('03.2.2023', '44', '44 th round', 'KLA', 'Friday', 'Away', '2:5', '12', '51'), ('05.2.2023', '45', '45 th round', 'KVA', 'Sunday', 'Home', '1:2pp', '12', '52'), ('15.2.2023', '46', '46 th round', 'HRK', 'Wednesday', 'Away', '0:3', '12', '52'), ('17.2.2023', '47', '47 th round', 'BRN', 'Friday', 'Home', '3:2sn', '12', '54'), ('19.2.2023', '48', '48 th round', 'TRI', 'Sunday', 'Home', '4:3pp', '12', '56'), ('24.2.2023', '49', '49 th round', 'MBO', 'Friday', 'Away', '2:1', '12', '59'), ('26.2.2023', '50', '50 th round', 'PLZ', 'Sunday', 'Home', '2:1', '11', '62'), ('03.3.2023', '51', '51 th round', 'PAR', 'Friday', 'Away', '3:2sn', '12', '64'), ('05.3.2023', '52', '52 th round', 'OLO', 'Sunday', 'Home', '5:1', '11', '67'), ('08.3.2023', '53', 'Playoff 1st round ', 'TRI', 'Wednesday', 'Away', '1:3', '', ''), ('09.3.2023', '54', 'Playoff 1st round ', 'TRI', 'Thursday', 'Away', '4:5pp', '', ''), ('11.3.2023', '55', 'Playoff 1st round ', 'TRI', 'Saturday', 'Home', '2:4', '', ''), ('15.9.2023', '1', '1st round', 'PAR', 'Friday', 'Away', '1:5', '13', '0'), ('17.9.2023', '2', '2nd round', 'PLZ', 'Sunday', 'Home', '4:2', '10', '3'), ('22.9.2023', '3', '3rd round', 'BRN', 'Friday', 'Away', '3:2', '7', '6'), ('24.9.2023', '4', '4 th round', 'LIB', 'Sunday', 'Home', '4:1', '3', '9'), ('27.9.2023', '5', '5 th round', 'HRK', 'Wednesday', 'Away', '3:2sn', '3', '11'), ('29.9.2023', '6', '6 th round', 'MBO', 'Friday', 'Home', '5:2', '3', '14'), ('01.10.2023', '7', '7 th round', 'TRI', 'Sunday', 'Home', '6:4', '2', '17'), ('06.10.2023', '8', '8 th round', 'KVA', 'Friday', 'Away', '4:1', '2', '20'), ('08.10.2023', '9', '9 th round', 'BUD', 'Sunday', 'Home', '4:3', '2', '23'), ('13.10.2023', '10', '10 th round', 'SPA', 'Friday', 'Home', '4:2', '2', '26'), ('15.10.2023', '11', '11 th round', 'KLA', 'Sunday', 'Home', '5:4pp', '2', '28'), ('20.10.2023', '12', '12 th round', 'VIT', 'Friday', 'Home', '6:3', '2', '31'), ('22.10.2023', '13', '13 th round', 'OLO', 'Sunday', 'Away', '1:2', '2', '31'), ('27.10.2023', '14', '14 th round', 'PAR', 'Friday', 'Home', '4:1', '1', '34'), ('29.10.2023', '15', '15 th round', 'PLZ', 'Sunday', 'Away', '2:5', '2', '34'), ('31.10.2023', '16', '16 th round', 'BRN', 'Tuesday', 'Home', '6:3', '2', '37'), ('03.11.2023', '17', '17 th round', 'LIB', 'Friday', 'Away', '2:5', '2', '37'), ('05.11.2023', '18', '18 th round', 'HRK', 'Sunday', 'Home', '0:2', '2', '37'), ('17.11.2023', '19', '19 th round', 'MBO', 'Friday', 'Away', '0:5', '3', '37'), ('19.11.2023', '20', '20 th round', 'TRI', 'Sunday', 'Away', '3:2pp', '3', '39'), ('24.11.2023', '21', '21 th round', 'KVA', 'Friday', 'Home', '6:4', '3', '42'), ('26.11.2023', '22', '22 th round', 'BUD', 'Sunday', 'Away', '0:1', '4', '42'), ('28.11.2023', '23', '23 th round', 'SPA', 'Tuesday', 'Away', '1:3', '4', '42'), ('01.12.2023', '24', '24 th round', 'KLA', 'Friday', 'Away', '0:3', '4', '42'), ('03.12.2023', '25', '25 th round', 'VIT', 'Sunday', 'Away', '2:6', '4', '42'), ('08.12.2023', '26', '26 th round', 'OLO', 'Friday', 'Home', '1:2pp', '5', '43'), ('10.12.2023', '27', '27 th round', 'PAR', 'Sunday', 'Away', '4:2', '5', '46'), ('20.12.2023', '28', '28 th round', 'PLZ', 'Wednesday', 'Home', '2:3sn', '5', '47'), ('26.12.2023', '29', '30 th round', 'LIB', 'Tuesday', 'Home', '6:3', '4', '50'), ('28.12.2023', '30', '31 th round', 'HRK', 'Thursday', 'Away', '5:1', '4', '53'), ('30.12.2023', '31', '32 th round', 'MBO', 'Saturday', 'Home', '6:1', '4', '56'), ('03.1.2024', '32', '47 th round', 'KVA', 'Wednesday', 'Home', '1:6', '4', '56'), ('05.1.2024', '33', '33 th round', 'TRI', 'Friday', 'Home', '5:2', '4', '59'), ('07.1.2024', '34', '34 th round', 'KVA', 'Sunday', 'Away', '1:2pp', '4', '60'), ('12.1.2024', '35', '35 th round', 'BUD', 'Friday', 'Home', '4:3pp', '4', '62'), ('14.1.2024', '36', '36 th round', 'SPA', 'Sunday', 'Away', '3:6', '4', '62'), ('17.1.2024', '37', '29 th round', 'BRN', 'Wednesday', 'Away', '1:3', '4', '62'), ('19.1.2024', '38', '37 th round', 'KLA', 'Friday', 'Home', '4:3', '4', '65'), ('21.1.2024', '39', '38 th round', 'VIT', 'Sunday', 'Away', '1:5', '4', '65'), ('23.1.2024', '40', '39 th round', 'OLO', 'Tuesday', 'Home', '4:1', '4', '68'), ('26.1.2024', '41', '40 th round', 'PAR', 'Friday', 'Home', '1:3', '4', '68'), ('28.1.2024', '42', '41 th round', 'PLZ', 'Sunday', 'Away', '5:3', '4', '71'), ('02.2.2024', '43', '42 th round', 'BRN', 'Friday', 'Home', '2:3', '4', '71'), ('04.2.2024', '44', '43 th round', 'LIB', 'Sunday', 'Away', '2:6', '6', '71'), ('14.2.2024', '45', '44 th round', 'HRK', 'Wednesday', 'Home', '5:6pp', '6', '72'), ('16.2.2024', '46', '45 th round', 'MBO', 'Friday', 'Away', '3:2', '5', '75'), ('18.2.2024', '47', '46 th round', 'TRI', 'Sunday', 'Away', '2:5', '6', '75'), ('23.2.2024', '48', '48 th round', 'BUD', 'Friday', 'Away', '7:4', '4', '78'), ('25.2.2024', '49', '49 th round', 'SPA', 'Sunday', 'Home', '3:8', '5', '78'), ('27.2.2024', '50', '50 th round', 'KLA', 'Tuesday', 'Away', '0:2', '7', '78')</v>
      </c>
    </row>
    <row r="398" spans="1:23" x14ac:dyDescent="0.25">
      <c r="A398" s="2">
        <v>45352</v>
      </c>
      <c r="B398" s="1">
        <v>51</v>
      </c>
      <c r="C398" s="1" t="s">
        <v>139</v>
      </c>
      <c r="D398" s="1" t="s">
        <v>10</v>
      </c>
      <c r="E398" s="1" t="s">
        <v>55</v>
      </c>
      <c r="F398" s="1" t="s">
        <v>157</v>
      </c>
      <c r="G398" s="11" t="s">
        <v>198</v>
      </c>
      <c r="H398" s="1">
        <v>6</v>
      </c>
      <c r="I398" s="1">
        <v>81</v>
      </c>
      <c r="L398" t="s">
        <v>154</v>
      </c>
      <c r="M398" t="str">
        <f>CONCATENATE("(","'",TEXT(A398,"dd.m.rrrrr"),"'",L398,"'",B398,"'",L398,"'",C398,"'",L398,"'",D398,"'",L398,"'",E398,"'",L398,"'",F398,"'",L398,"'",G398,"'",L398,"'",H398,"'",L398,"'",I398,"'",")")</f>
        <v>('01.3.2024', '51', '51 th round', 'VIT', 'Friday', 'Home', '5:4', '6', '81')</v>
      </c>
      <c r="W398" t="str">
        <f t="shared" si="6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'17'), ('04.11.2022', '18', '18 th round', 'KLA', 'Friday', 'Away', '2:3pp', '14', '18'), ('06.11.2022', '19', '19 th round', 'KVA', 'Sunday', 'Home', '5:3', '12', '21'), ('18.11.2022', '20', '20 th round', 'HRK', 'Friday', 'Away', '0:3', '13', '21'), ('20.11.2022', '21', '21 th round', 'BRN', 'Sunday', 'Home', '5:1', '11', '24'), ('25.11.2022', '22', '22 th round', 'TRI', 'Friday', 'Home', '1:2pp', '12', '25'), ('27.11.2022', '23', '23 th round', 'MBO', 'Sunday', 'Away', '4:6', '12', '25'), ('29.11.2022', '24', '24 th round', 'PLZ', 'Tuesday', 'Home', '2:4', '12', '25'), ('04.12.2022', '25', '26 th round', 'OLO', 'Sunday', 'Home', '5:3', '12', '28'), ('06.12.2022', '26', '25 th round', 'PAR', 'Tuesday', 'Away', '0:1', '12', '28'), ('09.12.2022', '27', '27 th round', 'VIT', 'Friday', 'Home', '5:3', '12', '31'), ('11.12.2022', '28', '28 th round', 'SPA', 'Sunday', 'Home', '5:2', '12', '34'), ('20.12.2022', '29', '29 th round', 'LIB', 'Tuesday', 'Home', '3:2sn', '11', '36'), ('22.12.2022', '30', '30 th round', 'BUD', 'Thursday', 'Away', '5:2', '11', '39'), ('26.12.2022', '31', '31 th round', 'KLA', 'Monday', 'Home', '2:3', '11', '39'), ('28.12.2022', '32', '32 th round', 'KVA', 'Wednesday', 'Away', '0:3', '11', '39'), ('30.12.2022', '33', '33 th round', 'HRK', 'Friday', 'Home', '2:3pp', '11', '40'), ('03.1.2023', '34', '34 th round', 'BRN', 'Tuesday', 'Away', '1:3', '12', '40'), ('06.1.2023', '35', '35 th round', 'TRI', 'Friday', 'Away', '2:3pp', '11', '41'), ('08.1.2023', '36', '36 th round', 'MBO', 'Sunday', 'Home', '4:3', '10', '44'), ('13.1.2023', '37', '37 th round', 'PLZ', 'Friday', 'Away', '1:4', '11', '44'), ('15.1.2023', '38', '38 th round', 'PAR', 'Sunday', 'Home', '1:2', '11', '44'), ('20.1.2023', '39', '39 th round', 'OLO', 'Friday', 'Away', '8:1', '10', '47'), ('22.1.2023', '40', '40 th round', 'VIT', 'Sunday', 'Away', '3:2sn', '11', '49'), ('25.1.2023', '41', '41 th round', 'SPA', 'Wednesday', 'Away', '2:3', '12', '49'), ('27.1.2023', '42', '42 th round', 'LIB', 'Friday', 'Away', '1:5', '13', '49'), ('29.1.2023', '43', '43 th round', 'BUD', 'Sunday', 'Home', '1:0sn', '12', '51'), ('03.2.2023', '44', '44 th round', 'KLA', 'Friday', 'Away', '2:5', '12', '51'), ('05.2.2023', '45', '45 th round', 'KVA', 'Sunday', 'Home', '1:2pp', '12', '52'), ('15.2.2023', '46', '46 th round', 'HRK', 'Wednesday', 'Away', '0:3', '12', '52'), ('17.2.2023', '47', '47 th round', 'BRN', 'Friday', 'Home', '3:2sn', '12', '54'), ('19.2.2023', '48', '48 th round', 'TRI', 'Sunday', 'Home', '4:3pp', '12', '56'), ('24.2.2023', '49', '49 th round', 'MBO', 'Friday', 'Away', '2:1', '12', '59'), ('26.2.2023', '50', '50 th round', 'PLZ', 'Sunday', 'Home', '2:1', '11', '62'), ('03.3.2023', '51', '51 th round', 'PAR', 'Friday', 'Away', '3:2sn', '12', '64'), ('05.3.2023', '52', '52 th round', 'OLO', 'Sunday', 'Home', '5:1', '11', '67'), ('08.3.2023', '53', 'Playoff 1st round ', 'TRI', 'Wednesday', 'Away', '1:3', '', ''), ('09.3.2023', '54', 'Playoff 1st round ', 'TRI', 'Thursday', 'Away', '4:5pp', '', ''), ('11.3.2023', '55', 'Playoff 1st round ', 'TRI', 'Saturday', 'Home', '2:4', '', ''), ('15.9.2023', '1', '1st round', 'PAR', 'Friday', 'Away', '1:5', '13', '0'), ('17.9.2023', '2', '2nd round', 'PLZ', 'Sunday', 'Home', '4:2', '10', '3'), ('22.9.2023', '3', '3rd round', 'BRN', 'Friday', 'Away', '3:2', '7', '6'), ('24.9.2023', '4', '4 th round', 'LIB', 'Sunday', 'Home', '4:1', '3', '9'), ('27.9.2023', '5', '5 th round', 'HRK', 'Wednesday', 'Away', '3:2sn', '3', '11'), ('29.9.2023', '6', '6 th round', 'MBO', 'Friday', 'Home', '5:2', '3', '14'), ('01.10.2023', '7', '7 th round', 'TRI', 'Sunday', 'Home', '6:4', '2', '17'), ('06.10.2023', '8', '8 th round', 'KVA', 'Friday', 'Away', '4:1', '2', '20'), ('08.10.2023', '9', '9 th round', 'BUD', 'Sunday', 'Home', '4:3', '2', '23'), ('13.10.2023', '10', '10 th round', 'SPA', 'Friday', 'Home', '4:2', '2', '26'), ('15.10.2023', '11', '11 th round', 'KLA', 'Sunday', 'Home', '5:4pp', '2', '28'), ('20.10.2023', '12', '12 th round', 'VIT', 'Friday', 'Home', '6:3', '2', '31'), ('22.10.2023', '13', '13 th round', 'OLO', 'Sunday', 'Away', '1:2', '2', '31'), ('27.10.2023', '14', '14 th round', 'PAR', 'Friday', 'Home', '4:1', '1', '34'), ('29.10.2023', '15', '15 th round', 'PLZ', 'Sunday', 'Away', '2:5', '2', '34'), ('31.10.2023', '16', '16 th round', 'BRN', 'Tuesday', 'Home', '6:3', '2', '37'), ('03.11.2023', '17', '17 th round', 'LIB', 'Friday', 'Away', '2:5', '2', '37'), ('05.11.2023', '18', '18 th round', 'HRK', 'Sunday', 'Home', '0:2', '2', '37'), ('17.11.2023', '19', '19 th round', 'MBO', 'Friday', 'Away', '0:5', '3', '37'), ('19.11.2023', '20', '20 th round', 'TRI', 'Sunday', 'Away', '3:2pp', '3', '39'), ('24.11.2023', '21', '21 th round', 'KVA', 'Friday', 'Home', '6:4', '3', '42'), ('26.11.2023', '22', '22 th round', 'BUD', 'Sunday', 'Away', '0:1', '4', '42'), ('28.11.2023', '23', '23 th round', 'SPA', 'Tuesday', 'Away', '1:3', '4', '42'), ('01.12.2023', '24', '24 th round', 'KLA', 'Friday', 'Away', '0:3', '4', '42'), ('03.12.2023', '25', '25 th round', 'VIT', 'Sunday', 'Away', '2:6', '4', '42'), ('08.12.2023', '26', '26 th round', 'OLO', 'Friday', 'Home', '1:2pp', '5', '43'), ('10.12.2023', '27', '27 th round', 'PAR', 'Sunday', 'Away', '4:2', '5', '46'), ('20.12.2023', '28', '28 th round', 'PLZ', 'Wednesday', 'Home', '2:3sn', '5', '47'), ('26.12.2023', '29', '30 th round', 'LIB', 'Tuesday', 'Home', '6:3', '4', '50'), ('28.12.2023', '30', '31 th round', 'HRK', 'Thursday', 'Away', '5:1', '4', '53'), ('30.12.2023', '31', '32 th round', 'MBO', 'Saturday', 'Home', '6:1', '4', '56'), ('03.1.2024', '32', '47 th round', 'KVA', 'Wednesday', 'Home', '1:6', '4', '56'), ('05.1.2024', '33', '33 th round', 'TRI', 'Friday', 'Home', '5:2', '4', '59'), ('07.1.2024', '34', '34 th round', 'KVA', 'Sunday', 'Away', '1:2pp', '4', '60'), ('12.1.2024', '35', '35 th round', 'BUD', 'Friday', 'Home', '4:3pp', '4', '62'), ('14.1.2024', '36', '36 th round', 'SPA', 'Sunday', 'Away', '3:6', '4', '62'), ('17.1.2024', '37', '29 th round', 'BRN', 'Wednesday', 'Away', '1:3', '4', '62'), ('19.1.2024', '38', '37 th round', 'KLA', 'Friday', 'Home', '4:3', '4', '65'), ('21.1.2024', '39', '38 th round', 'VIT', 'Sunday', 'Away', '1:5', '4', '65'), ('23.1.2024', '40', '39 th round', 'OLO', 'Tuesday', 'Home', '4:1', '4', '68'), ('26.1.2024', '41', '40 th round', 'PAR', 'Friday', 'Home', '1:3', '4', '68'), ('28.1.2024', '42', '41 th round', 'PLZ', 'Sunday', 'Away', '5:3', '4', '71'), ('02.2.2024', '43', '42 th round', 'BRN', 'Friday', 'Home', '2:3', '4', '71'), ('04.2.2024', '44', '43 th round', 'LIB', 'Sunday', 'Away', '2:6', '6', '71'), ('14.2.2024', '45', '44 th round', 'HRK', 'Wednesday', 'Home', '5:6pp', '6', '72'), ('16.2.2024', '46', '45 th round', 'MBO', 'Friday', 'Away', '3:2', '5', '75'), ('18.2.2024', '47', '46 th round', 'TRI', 'Sunday', 'Away', '2:5', '6', '75'), ('23.2.2024', '48', '48 th round', 'BUD', 'Friday', 'Away', '7:4', '4', '78'), ('25.2.2024', '49', '49 th round', 'SPA', 'Sunday', 'Home', '3:8', '5', '78'), ('27.2.2024', '50', '50 th round', 'KLA', 'Tuesday', 'Away', '0:2', '7', '78'), ('01.3.2024', '51', '51 th round', 'VIT', 'Friday', 'Home', '5:4', '6', '81')</v>
      </c>
    </row>
    <row r="399" spans="1:23" x14ac:dyDescent="0.25">
      <c r="A399" s="2">
        <v>45354</v>
      </c>
      <c r="B399" s="1">
        <v>52</v>
      </c>
      <c r="C399" s="1" t="s">
        <v>140</v>
      </c>
      <c r="D399" s="1" t="s">
        <v>4</v>
      </c>
      <c r="E399" s="1" t="s">
        <v>57</v>
      </c>
      <c r="F399" s="1" t="s">
        <v>155</v>
      </c>
      <c r="G399" s="3" t="s">
        <v>14</v>
      </c>
      <c r="H399" s="4">
        <v>5</v>
      </c>
      <c r="I399" s="4">
        <v>83</v>
      </c>
      <c r="L399" t="s">
        <v>154</v>
      </c>
      <c r="M399" t="str">
        <f>CONCATENATE("(","'",TEXT(A399,"dd.m.rrrrr"),"'",L399,"'",B399,"'",L399,"'",C399,"'",L399,"'",D399,"'",L399,"'",E399,"'",L399,"'",F399,"'",L399,"'",G399,"'",L399,"'",H399,"'",L399,"'",I399,"'",")")</f>
        <v>('03.3.2024', '52', '52 th round', 'OLO', 'Sunday', 'Away', '4:3sn', '5', '83')</v>
      </c>
      <c r="W399" t="str">
        <f t="shared" si="6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'17'), ('04.11.2022', '18', '18 th round', 'KLA', 'Friday', 'Away', '2:3pp', '14', '18'), ('06.11.2022', '19', '19 th round', 'KVA', 'Sunday', 'Home', '5:3', '12', '21'), ('18.11.2022', '20', '20 th round', 'HRK', 'Friday', 'Away', '0:3', '13', '21'), ('20.11.2022', '21', '21 th round', 'BRN', 'Sunday', 'Home', '5:1', '11', '24'), ('25.11.2022', '22', '22 th round', 'TRI', 'Friday', 'Home', '1:2pp', '12', '25'), ('27.11.2022', '23', '23 th round', 'MBO', 'Sunday', 'Away', '4:6', '12', '25'), ('29.11.2022', '24', '24 th round', 'PLZ', 'Tuesday', 'Home', '2:4', '12', '25'), ('04.12.2022', '25', '26 th round', 'OLO', 'Sunday', 'Home', '5:3', '12', '28'), ('06.12.2022', '26', '25 th round', 'PAR', 'Tuesday', 'Away', '0:1', '12', '28'), ('09.12.2022', '27', '27 th round', 'VIT', 'Friday', 'Home', '5:3', '12', '31'), ('11.12.2022', '28', '28 th round', 'SPA', 'Sunday', 'Home', '5:2', '12', '34'), ('20.12.2022', '29', '29 th round', 'LIB', 'Tuesday', 'Home', '3:2sn', '11', '36'), ('22.12.2022', '30', '30 th round', 'BUD', 'Thursday', 'Away', '5:2', '11', '39'), ('26.12.2022', '31', '31 th round', 'KLA', 'Monday', 'Home', '2:3', '11', '39'), ('28.12.2022', '32', '32 th round', 'KVA', 'Wednesday', 'Away', '0:3', '11', '39'), ('30.12.2022', '33', '33 th round', 'HRK', 'Friday', 'Home', '2:3pp', '11', '40'), ('03.1.2023', '34', '34 th round', 'BRN', 'Tuesday', 'Away', '1:3', '12', '40'), ('06.1.2023', '35', '35 th round', 'TRI', 'Friday', 'Away', '2:3pp', '11', '41'), ('08.1.2023', '36', '36 th round', 'MBO', 'Sunday', 'Home', '4:3', '10', '44'), ('13.1.2023', '37', '37 th round', 'PLZ', 'Friday', 'Away', '1:4', '11', '44'), ('15.1.2023', '38', '38 th round', 'PAR', 'Sunday', 'Home', '1:2', '11', '44'), ('20.1.2023', '39', '39 th round', 'OLO', 'Friday', 'Away', '8:1', '10', '47'), ('22.1.2023', '40', '40 th round', 'VIT', 'Sunday', 'Away', '3:2sn', '11', '49'), ('25.1.2023', '41', '41 th round', 'SPA', 'Wednesday', 'Away', '2:3', '12', '49'), ('27.1.2023', '42', '42 th round', 'LIB', 'Friday', 'Away', '1:5', '13', '49'), ('29.1.2023', '43', '43 th round', 'BUD', 'Sunday', 'Home', '1:0sn', '12', '51'), ('03.2.2023', '44', '44 th round', 'KLA', 'Friday', 'Away', '2:5', '12', '51'), ('05.2.2023', '45', '45 th round', 'KVA', 'Sunday', 'Home', '1:2pp', '12', '52'), ('15.2.2023', '46', '46 th round', 'HRK', 'Wednesday', 'Away', '0:3', '12', '52'), ('17.2.2023', '47', '47 th round', 'BRN', 'Friday', 'Home', '3:2sn', '12', '54'), ('19.2.2023', '48', '48 th round', 'TRI', 'Sunday', 'Home', '4:3pp', '12', '56'), ('24.2.2023', '49', '49 th round', 'MBO', 'Friday', 'Away', '2:1', '12', '59'), ('26.2.2023', '50', '50 th round', 'PLZ', 'Sunday', 'Home', '2:1', '11', '62'), ('03.3.2023', '51', '51 th round', 'PAR', 'Friday', 'Away', '3:2sn', '12', '64'), ('05.3.2023', '52', '52 th round', 'OLO', 'Sunday', 'Home', '5:1', '11', '67'), ('08.3.2023', '53', 'Playoff 1st round ', 'TRI', 'Wednesday', 'Away', '1:3', '', ''), ('09.3.2023', '54', 'Playoff 1st round ', 'TRI', 'Thursday', 'Away', '4:5pp', '', ''), ('11.3.2023', '55', 'Playoff 1st round ', 'TRI', 'Saturday', 'Home', '2:4', '', ''), ('15.9.2023', '1', '1st round', 'PAR', 'Friday', 'Away', '1:5', '13', '0'), ('17.9.2023', '2', '2nd round', 'PLZ', 'Sunday', 'Home', '4:2', '10', '3'), ('22.9.2023', '3', '3rd round', 'BRN', 'Friday', 'Away', '3:2', '7', '6'), ('24.9.2023', '4', '4 th round', 'LIB', 'Sunday', 'Home', '4:1', '3', '9'), ('27.9.2023', '5', '5 th round', 'HRK', 'Wednesday', 'Away', '3:2sn', '3', '11'), ('29.9.2023', '6', '6 th round', 'MBO', 'Friday', 'Home', '5:2', '3', '14'), ('01.10.2023', '7', '7 th round', 'TRI', 'Sunday', 'Home', '6:4', '2', '17'), ('06.10.2023', '8', '8 th round', 'KVA', 'Friday', 'Away', '4:1', '2', '20'), ('08.10.2023', '9', '9 th round', 'BUD', 'Sunday', 'Home', '4:3', '2', '23'), ('13.10.2023', '10', '10 th round', 'SPA', 'Friday', 'Home', '4:2', '2', '26'), ('15.10.2023', '11', '11 th round', 'KLA', 'Sunday', 'Home', '5:4pp', '2', '28'), ('20.10.2023', '12', '12 th round', 'VIT', 'Friday', 'Home', '6:3', '2', '31'), ('22.10.2023', '13', '13 th round', 'OLO', 'Sunday', 'Away', '1:2', '2', '31'), ('27.10.2023', '14', '14 th round', 'PAR', 'Friday', 'Home', '4:1', '1', '34'), ('29.10.2023', '15', '15 th round', 'PLZ', 'Sunday', 'Away', '2:5', '2', '34'), ('31.10.2023', '16', '16 th round', 'BRN', 'Tuesday', 'Home', '6:3', '2', '37'), ('03.11.2023', '17', '17 th round', 'LIB', 'Friday', 'Away', '2:5', '2', '37'), ('05.11.2023', '18', '18 th round', 'HRK', 'Sunday', 'Home', '0:2', '2', '37'), ('17.11.2023', '19', '19 th round', 'MBO', 'Friday', 'Away', '0:5', '3', '37'), ('19.11.2023', '20', '20 th round', 'TRI', 'Sunday', 'Away', '3:2pp', '3', '39'), ('24.11.2023', '21', '21 th round', 'KVA', 'Friday', 'Home', '6:4', '3', '42'), ('26.11.2023', '22', '22 th round', 'BUD', 'Sunday', 'Away', '0:1', '4', '42'), ('28.11.2023', '23', '23 th round', 'SPA', 'Tuesday', 'Away', '1:3', '4', '42'), ('01.12.2023', '24', '24 th round', 'KLA', 'Friday', 'Away', '0:3', '4', '42'), ('03.12.2023', '25', '25 th round', 'VIT', 'Sunday', 'Away', '2:6', '4', '42'), ('08.12.2023', '26', '26 th round', 'OLO', 'Friday', 'Home', '1:2pp', '5', '43'), ('10.12.2023', '27', '27 th round', 'PAR', 'Sunday', 'Away', '4:2', '5', '46'), ('20.12.2023', '28', '28 th round', 'PLZ', 'Wednesday', 'Home', '2:3sn', '5', '47'), ('26.12.2023', '29', '30 th round', 'LIB', 'Tuesday', 'Home', '6:3', '4', '50'), ('28.12.2023', '30', '31 th round', 'HRK', 'Thursday', 'Away', '5:1', '4', '53'), ('30.12.2023', '31', '32 th round', 'MBO', 'Saturday', 'Home', '6:1', '4', '56'), ('03.1.2024', '32', '47 th round', 'KVA', 'Wednesday', 'Home', '1:6', '4', '56'), ('05.1.2024', '33', '33 th round', 'TRI', 'Friday', 'Home', '5:2', '4', '59'), ('07.1.2024', '34', '34 th round', 'KVA', 'Sunday', 'Away', '1:2pp', '4', '60'), ('12.1.2024', '35', '35 th round', 'BUD', 'Friday', 'Home', '4:3pp', '4', '62'), ('14.1.2024', '36', '36 th round', 'SPA', 'Sunday', 'Away', '3:6', '4', '62'), ('17.1.2024', '37', '29 th round', 'BRN', 'Wednesday', 'Away', '1:3', '4', '62'), ('19.1.2024', '38', '37 th round', 'KLA', 'Friday', 'Home', '4:3', '4', '65'), ('21.1.2024', '39', '38 th round', 'VIT', 'Sunday', 'Away', '1:5', '4', '65'), ('23.1.2024', '40', '39 th round', 'OLO', 'Tuesday', 'Home', '4:1', '4', '68'), ('26.1.2024', '41', '40 th round', 'PAR', 'Friday', 'Home', '1:3', '4', '68'), ('28.1.2024', '42', '41 th round', 'PLZ', 'Sunday', 'Away', '5:3', '4', '71'), ('02.2.2024', '43', '42 th round', 'BRN', 'Friday', 'Home', '2:3', '4', '71'), ('04.2.2024', '44', '43 th round', 'LIB', 'Sunday', 'Away', '2:6', '6', '71'), ('14.2.2024', '45', '44 th round', 'HRK', 'Wednesday', 'Home', '5:6pp', '6', '72'), ('16.2.2024', '46', '45 th round', 'MBO', 'Friday', 'Away', '3:2', '5', '75'), ('18.2.2024', '47', '46 th round', 'TRI', 'Sunday', 'Away', '2:5', '6', '75'), ('23.2.2024', '48', '48 th round', 'BUD', 'Friday', 'Away', '7:4', '4', '78'), ('25.2.2024', '49', '49 th round', 'SPA', 'Sunday', 'Home', '3:8', '5', '78'), ('27.2.2024', '50', '50 th round', 'KLA', 'Tuesday', 'Away', '0:2', '7', '78'), ('01.3.2024', '51', '51 th round', 'VIT', 'Friday', 'Home', '5:4', '6', '81'), ('03.3.2024', '52', '52 th round', 'OLO', 'Sunday', 'Away', '4:3sn', '5', '83')</v>
      </c>
    </row>
    <row r="400" spans="1:23" x14ac:dyDescent="0.25">
      <c r="A400" s="2">
        <v>45357</v>
      </c>
      <c r="B400" s="1">
        <v>53</v>
      </c>
      <c r="C400" s="1" t="s">
        <v>80</v>
      </c>
      <c r="D400" s="1" t="s">
        <v>0</v>
      </c>
      <c r="E400" s="1" t="s">
        <v>60</v>
      </c>
      <c r="F400" s="1" t="s">
        <v>157</v>
      </c>
      <c r="G400" s="11" t="s">
        <v>188</v>
      </c>
      <c r="L400" t="s">
        <v>154</v>
      </c>
      <c r="M400" t="str">
        <f>CONCATENATE("(","'",TEXT(A400,"dd.m.rrrrr"),"'",L400,"'",B400,"'",L400,"'",C400,"'",L400,"'",D400,"'",L400,"'",E400,"'",L400,"'",F400,"'",L400,"'",G400,"'",L400,"'",H400,"'",L400,"'",I400,"'",")")</f>
        <v>('06.3.2024', '53', 'Playoff 1st round  1', 'PLZ', 'Wednesday', 'Home', '4:2', '', '')</v>
      </c>
      <c r="W400" t="str">
        <f t="shared" si="6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'17'), ('04.11.2022', '18', '18 th round', 'KLA', 'Friday', 'Away', '2:3pp', '14', '18'), ('06.11.2022', '19', '19 th round', 'KVA', 'Sunday', 'Home', '5:3', '12', '21'), ('18.11.2022', '20', '20 th round', 'HRK', 'Friday', 'Away', '0:3', '13', '21'), ('20.11.2022', '21', '21 th round', 'BRN', 'Sunday', 'Home', '5:1', '11', '24'), ('25.11.2022', '22', '22 th round', 'TRI', 'Friday', 'Home', '1:2pp', '12', '25'), ('27.11.2022', '23', '23 th round', 'MBO', 'Sunday', 'Away', '4:6', '12', '25'), ('29.11.2022', '24', '24 th round', 'PLZ', 'Tuesday', 'Home', '2:4', '12', '25'), ('04.12.2022', '25', '26 th round', 'OLO', 'Sunday', 'Home', '5:3', '12', '28'), ('06.12.2022', '26', '25 th round', 'PAR', 'Tuesday', 'Away', '0:1', '12', '28'), ('09.12.2022', '27', '27 th round', 'VIT', 'Friday', 'Home', '5:3', '12', '31'), ('11.12.2022', '28', '28 th round', 'SPA', 'Sunday', 'Home', '5:2', '12', '34'), ('20.12.2022', '29', '29 th round', 'LIB', 'Tuesday', 'Home', '3:2sn', '11', '36'), ('22.12.2022', '30', '30 th round', 'BUD', 'Thursday', 'Away', '5:2', '11', '39'), ('26.12.2022', '31', '31 th round', 'KLA', 'Monday', 'Home', '2:3', '11', '39'), ('28.12.2022', '32', '32 th round', 'KVA', 'Wednesday', 'Away', '0:3', '11', '39'), ('30.12.2022', '33', '33 th round', 'HRK', 'Friday', 'Home', '2:3pp', '11', '40'), ('03.1.2023', '34', '34 th round', 'BRN', 'Tuesday', 'Away', '1:3', '12', '40'), ('06.1.2023', '35', '35 th round', 'TRI', 'Friday', 'Away', '2:3pp', '11', '41'), ('08.1.2023', '36', '36 th round', 'MBO', 'Sunday', 'Home', '4:3', '10', '44'), ('13.1.2023', '37', '37 th round', 'PLZ', 'Friday', 'Away', '1:4', '11', '44'), ('15.1.2023', '38', '38 th round', 'PAR', 'Sunday', 'Home', '1:2', '11', '44'), ('20.1.2023', '39', '39 th round', 'OLO', 'Friday', 'Away', '8:1', '10', '47'), ('22.1.2023', '40', '40 th round', 'VIT', 'Sunday', 'Away', '3:2sn', '11', '49'), ('25.1.2023', '41', '41 th round', 'SPA', 'Wednesday', 'Away', '2:3', '12', '49'), ('27.1.2023', '42', '42 th round', 'LIB', 'Friday', 'Away', '1:5', '13', '49'), ('29.1.2023', '43', '43 th round', 'BUD', 'Sunday', 'Home', '1:0sn', '12', '51'), ('03.2.2023', '44', '44 th round', 'KLA', 'Friday', 'Away', '2:5', '12', '51'), ('05.2.2023', '45', '45 th round', 'KVA', 'Sunday', 'Home', '1:2pp', '12', '52'), ('15.2.2023', '46', '46 th round', 'HRK', 'Wednesday', 'Away', '0:3', '12', '52'), ('17.2.2023', '47', '47 th round', 'BRN', 'Friday', 'Home', '3:2sn', '12', '54'), ('19.2.2023', '48', '48 th round', 'TRI', 'Sunday', 'Home', '4:3pp', '12', '56'), ('24.2.2023', '49', '49 th round', 'MBO', 'Friday', 'Away', '2:1', '12', '59'), ('26.2.2023', '50', '50 th round', 'PLZ', 'Sunday', 'Home', '2:1', '11', '62'), ('03.3.2023', '51', '51 th round', 'PAR', 'Friday', 'Away', '3:2sn', '12', '64'), ('05.3.2023', '52', '52 th round', 'OLO', 'Sunday', 'Home', '5:1', '11', '67'), ('08.3.2023', '53', 'Playoff 1st round ', 'TRI', 'Wednesday', 'Away', '1:3', '', ''), ('09.3.2023', '54', 'Playoff 1st round ', 'TRI', 'Thursday', 'Away', '4:5pp', '', ''), ('11.3.2023', '55', 'Playoff 1st round ', 'TRI', 'Saturday', 'Home', '2:4', '', ''), ('15.9.2023', '1', '1st round', 'PAR', 'Friday', 'Away', '1:5', '13', '0'), ('17.9.2023', '2', '2nd round', 'PLZ', 'Sunday', 'Home', '4:2', '10', '3'), ('22.9.2023', '3', '3rd round', 'BRN', 'Friday', 'Away', '3:2', '7', '6'), ('24.9.2023', '4', '4 th round', 'LIB', 'Sunday', 'Home', '4:1', '3', '9'), ('27.9.2023', '5', '5 th round', 'HRK', 'Wednesday', 'Away', '3:2sn', '3', '11'), ('29.9.2023', '6', '6 th round', 'MBO', 'Friday', 'Home', '5:2', '3', '14'), ('01.10.2023', '7', '7 th round', 'TRI', 'Sunday', 'Home', '6:4', '2', '17'), ('06.10.2023', '8', '8 th round', 'KVA', 'Friday', 'Away', '4:1', '2', '20'), ('08.10.2023', '9', '9 th round', 'BUD', 'Sunday', 'Home', '4:3', '2', '23'), ('13.10.2023', '10', '10 th round', 'SPA', 'Friday', 'Home', '4:2', '2', '26'), ('15.10.2023', '11', '11 th round', 'KLA', 'Sunday', 'Home', '5:4pp', '2', '28'), ('20.10.2023', '12', '12 th round', 'VIT', 'Friday', 'Home', '6:3', '2', '31'), ('22.10.2023', '13', '13 th round', 'OLO', 'Sunday', 'Away', '1:2', '2', '31'), ('27.10.2023', '14', '14 th round', 'PAR', 'Friday', 'Home', '4:1', '1', '34'), ('29.10.2023', '15', '15 th round', 'PLZ', 'Sunday', 'Away', '2:5', '2', '34'), ('31.10.2023', '16', '16 th round', 'BRN', 'Tuesday', 'Home', '6:3', '2', '37'), ('03.11.2023', '17', '17 th round', 'LIB', 'Friday', 'Away', '2:5', '2', '37'), ('05.11.2023', '18', '18 th round', 'HRK', 'Sunday', 'Home', '0:2', '2', '37'), ('17.11.2023', '19', '19 th round', 'MBO', 'Friday', 'Away', '0:5', '3', '37'), ('19.11.2023', '20', '20 th round', 'TRI', 'Sunday', 'Away', '3:2pp', '3', '39'), ('24.11.2023', '21', '21 th round', 'KVA', 'Friday', 'Home', '6:4', '3', '42'), ('26.11.2023', '22', '22 th round', 'BUD', 'Sunday', 'Away', '0:1', '4', '42'), ('28.11.2023', '23', '23 th round', 'SPA', 'Tuesday', 'Away', '1:3', '4', '42'), ('01.12.2023', '24', '24 th round', 'KLA', 'Friday', 'Away', '0:3', '4', '42'), ('03.12.2023', '25', '25 th round', 'VIT', 'Sunday', 'Away', '2:6', '4', '42'), ('08.12.2023', '26', '26 th round', 'OLO', 'Friday', 'Home', '1:2pp', '5', '43'), ('10.12.2023', '27', '27 th round', 'PAR', 'Sunday', 'Away', '4:2', '5', '46'), ('20.12.2023', '28', '28 th round', 'PLZ', 'Wednesday', 'Home', '2:3sn', '5', '47'), ('26.12.2023', '29', '30 th round', 'LIB', 'Tuesday', 'Home', '6:3', '4', '50'), ('28.12.2023', '30', '31 th round', 'HRK', 'Thursday', 'Away', '5:1', '4', '53'), ('30.12.2023', '31', '32 th round', 'MBO', 'Saturday', 'Home', '6:1', '4', '56'), ('03.1.2024', '32', '47 th round', 'KVA', 'Wednesday', 'Home', '1:6', '4', '56'), ('05.1.2024', '33', '33 th round', 'TRI', 'Friday', 'Home', '5:2', '4', '59'), ('07.1.2024', '34', '34 th round', 'KVA', 'Sunday', 'Away', '1:2pp', '4', '60'), ('12.1.2024', '35', '35 th round', 'BUD', 'Friday', 'Home', '4:3pp', '4', '62'), ('14.1.2024', '36', '36 th round', 'SPA', 'Sunday', 'Away', '3:6', '4', '62'), ('17.1.2024', '37', '29 th round', 'BRN', 'Wednesday', 'Away', '1:3', '4', '62'), ('19.1.2024', '38', '37 th round', 'KLA', 'Friday', 'Home', '4:3', '4', '65'), ('21.1.2024', '39', '38 th round', 'VIT', 'Sunday', 'Away', '1:5', '4', '65'), ('23.1.2024', '40', '39 th round', 'OLO', 'Tuesday', 'Home', '4:1', '4', '68'), ('26.1.2024', '41', '40 th round', 'PAR', 'Friday', 'Home', '1:3', '4', '68'), ('28.1.2024', '42', '41 th round', 'PLZ', 'Sunday', 'Away', '5:3', '4', '71'), ('02.2.2024', '43', '42 th round', 'BRN', 'Friday', 'Home', '2:3', '4', '71'), ('04.2.2024', '44', '43 th round', 'LIB', 'Sunday', 'Away', '2:6', '6', '71'), ('14.2.2024', '45', '44 th round', 'HRK', 'Wednesday', 'Home', '5:6pp', '6', '72'), ('16.2.2024', '46', '45 th round', 'MBO', 'Friday', 'Away', '3:2', '5', '75'), ('18.2.2024', '47', '46 th round', 'TRI', 'Sunday', 'Away', '2:5', '6', '75'), ('23.2.2024', '48', '48 th round', 'BUD', 'Friday', 'Away', '7:4', '4', '78'), ('25.2.2024', '49', '49 th round', 'SPA', 'Sunday', 'Home', '3:8', '5', '78'), ('27.2.2024', '50', '50 th round', 'KLA', 'Tuesday', 'Away', '0:2', '7', '78'), ('01.3.2024', '51', '51 th round', 'VIT', 'Friday', 'Home', '5:4', '6', '81'), ('03.3.2024', '52', '52 th round', 'OLO', 'Sunday', 'Away', '4:3sn', '5', '83'), ('06.3.2024', '53', 'Playoff 1st round  1', 'PLZ', 'Wednesday', 'Home', '4:2', '', '')</v>
      </c>
    </row>
    <row r="401" spans="1:23" x14ac:dyDescent="0.25">
      <c r="A401" s="2">
        <v>45358</v>
      </c>
      <c r="B401" s="1">
        <v>54</v>
      </c>
      <c r="C401" s="1" t="s">
        <v>81</v>
      </c>
      <c r="D401" s="1" t="s">
        <v>0</v>
      </c>
      <c r="E401" s="1" t="s">
        <v>61</v>
      </c>
      <c r="F401" s="1" t="s">
        <v>157</v>
      </c>
      <c r="G401" s="11" t="s">
        <v>187</v>
      </c>
      <c r="L401" t="s">
        <v>154</v>
      </c>
      <c r="M401" t="str">
        <f>CONCATENATE("(","'",TEXT(A401,"dd.m.rrrrr"),"'",L401,"'",B401,"'",L401,"'",C401,"'",L401,"'",D401,"'",L401,"'",E401,"'",L401,"'",F401,"'",L401,"'",G401,"'",L401,"'",H401,"'",L401,"'",I401,"'",")")</f>
        <v>('07.3.2024', '54', 'Playoff 1st round  2', 'PLZ', 'Thursday', 'Home', '4:1', '', '')</v>
      </c>
      <c r="W401" t="str">
        <f t="shared" si="6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'17'), ('04.11.2022', '18', '18 th round', 'KLA', 'Friday', 'Away', '2:3pp', '14', '18'), ('06.11.2022', '19', '19 th round', 'KVA', 'Sunday', 'Home', '5:3', '12', '21'), ('18.11.2022', '20', '20 th round', 'HRK', 'Friday', 'Away', '0:3', '13', '21'), ('20.11.2022', '21', '21 th round', 'BRN', 'Sunday', 'Home', '5:1', '11', '24'), ('25.11.2022', '22', '22 th round', 'TRI', 'Friday', 'Home', '1:2pp', '12', '25'), ('27.11.2022', '23', '23 th round', 'MBO', 'Sunday', 'Away', '4:6', '12', '25'), ('29.11.2022', '24', '24 th round', 'PLZ', 'Tuesday', 'Home', '2:4', '12', '25'), ('04.12.2022', '25', '26 th round', 'OLO', 'Sunday', 'Home', '5:3', '12', '28'), ('06.12.2022', '26', '25 th round', 'PAR', 'Tuesday', 'Away', '0:1', '12', '28'), ('09.12.2022', '27', '27 th round', 'VIT', 'Friday', 'Home', '5:3', '12', '31'), ('11.12.2022', '28', '28 th round', 'SPA', 'Sunday', 'Home', '5:2', '12', '34'), ('20.12.2022', '29', '29 th round', 'LIB', 'Tuesday', 'Home', '3:2sn', '11', '36'), ('22.12.2022', '30', '30 th round', 'BUD', 'Thursday', 'Away', '5:2', '11', '39'), ('26.12.2022', '31', '31 th round', 'KLA', 'Monday', 'Home', '2:3', '11', '39'), ('28.12.2022', '32', '32 th round', 'KVA', 'Wednesday', 'Away', '0:3', '11', '39'), ('30.12.2022', '33', '33 th round', 'HRK', 'Friday', 'Home', '2:3pp', '11', '40'), ('03.1.2023', '34', '34 th round', 'BRN', 'Tuesday', 'Away', '1:3', '12', '40'), ('06.1.2023', '35', '35 th round', 'TRI', 'Friday', 'Away', '2:3pp', '11', '41'), ('08.1.2023', '36', '36 th round', 'MBO', 'Sunday', 'Home', '4:3', '10', '44'), ('13.1.2023', '37', '37 th round', 'PLZ', 'Friday', 'Away', '1:4', '11', '44'), ('15.1.2023', '38', '38 th round', 'PAR', 'Sunday', 'Home', '1:2', '11', '44'), ('20.1.2023', '39', '39 th round', 'OLO', 'Friday', 'Away', '8:1', '10', '47'), ('22.1.2023', '40', '40 th round', 'VIT', 'Sunday', 'Away', '3:2sn', '11', '49'), ('25.1.2023', '41', '41 th round', 'SPA', 'Wednesday', 'Away', '2:3', '12', '49'), ('27.1.2023', '42', '42 th round', 'LIB', 'Friday', 'Away', '1:5', '13', '49'), ('29.1.2023', '43', '43 th round', 'BUD', 'Sunday', 'Home', '1:0sn', '12', '51'), ('03.2.2023', '44', '44 th round', 'KLA', 'Friday', 'Away', '2:5', '12', '51'), ('05.2.2023', '45', '45 th round', 'KVA', 'Sunday', 'Home', '1:2pp', '12', '52'), ('15.2.2023', '46', '46 th round', 'HRK', 'Wednesday', 'Away', '0:3', '12', '52'), ('17.2.2023', '47', '47 th round', 'BRN', 'Friday', 'Home', '3:2sn', '12', '54'), ('19.2.2023', '48', '48 th round', 'TRI', 'Sunday', 'Home', '4:3pp', '12', '56'), ('24.2.2023', '49', '49 th round', 'MBO', 'Friday', 'Away', '2:1', '12', '59'), ('26.2.2023', '50', '50 th round', 'PLZ', 'Sunday', 'Home', '2:1', '11', '62'), ('03.3.2023', '51', '51 th round', 'PAR', 'Friday', 'Away', '3:2sn', '12', '64'), ('05.3.2023', '52', '52 th round', 'OLO', 'Sunday', 'Home', '5:1', '11', '67'), ('08.3.2023', '53', 'Playoff 1st round ', 'TRI', 'Wednesday', 'Away', '1:3', '', ''), ('09.3.2023', '54', 'Playoff 1st round ', 'TRI', 'Thursday', 'Away', '4:5pp', '', ''), ('11.3.2023', '55', 'Playoff 1st round ', 'TRI', 'Saturday', 'Home', '2:4', '', ''), ('15.9.2023', '1', '1st round', 'PAR', 'Friday', 'Away', '1:5', '13', '0'), ('17.9.2023', '2', '2nd round', 'PLZ', 'Sunday', 'Home', '4:2', '10', '3'), ('22.9.2023', '3', '3rd round', 'BRN', 'Friday', 'Away', '3:2', '7', '6'), ('24.9.2023', '4', '4 th round', 'LIB', 'Sunday', 'Home', '4:1', '3', '9'), ('27.9.2023', '5', '5 th round', 'HRK', 'Wednesday', 'Away', '3:2sn', '3', '11'), ('29.9.2023', '6', '6 th round', 'MBO', 'Friday', 'Home', '5:2', '3', '14'), ('01.10.2023', '7', '7 th round', 'TRI', 'Sunday', 'Home', '6:4', '2', '17'), ('06.10.2023', '8', '8 th round', 'KVA', 'Friday', 'Away', '4:1', '2', '20'), ('08.10.2023', '9', '9 th round', 'BUD', 'Sunday', 'Home', '4:3', '2', '23'), ('13.10.2023', '10', '10 th round', 'SPA', 'Friday', 'Home', '4:2', '2', '26'), ('15.10.2023', '11', '11 th round', 'KLA', 'Sunday', 'Home', '5:4pp', '2', '28'), ('20.10.2023', '12', '12 th round', 'VIT', 'Friday', 'Home', '6:3', '2', '31'), ('22.10.2023', '13', '13 th round', 'OLO', 'Sunday', 'Away', '1:2', '2', '31'), ('27.10.2023', '14', '14 th round', 'PAR', 'Friday', 'Home', '4:1', '1', '34'), ('29.10.2023', '15', '15 th round', 'PLZ', 'Sunday', 'Away', '2:5', '2', '34'), ('31.10.2023', '16', '16 th round', 'BRN', 'Tuesday', 'Home', '6:3', '2', '37'), ('03.11.2023', '17', '17 th round', 'LIB', 'Friday', 'Away', '2:5', '2', '37'), ('05.11.2023', '18', '18 th round', 'HRK', 'Sunday', 'Home', '0:2', '2', '37'), ('17.11.2023', '19', '19 th round', 'MBO', 'Friday', 'Away', '0:5', '3', '37'), ('19.11.2023', '20', '20 th round', 'TRI', 'Sunday', 'Away', '3:2pp', '3', '39'), ('24.11.2023', '21', '21 th round', 'KVA', 'Friday', 'Home', '6:4', '3', '42'), ('26.11.2023', '22', '22 th round', 'BUD', 'Sunday', 'Away', '0:1', '4', '42'), ('28.11.2023', '23', '23 th round', 'SPA', 'Tuesday', 'Away', '1:3', '4', '42'), ('01.12.2023', '24', '24 th round', 'KLA', 'Friday', 'Away', '0:3', '4', '42'), ('03.12.2023', '25', '25 th round', 'VIT', 'Sunday', 'Away', '2:6', '4', '42'), ('08.12.2023', '26', '26 th round', 'OLO', 'Friday', 'Home', '1:2pp', '5', '43'), ('10.12.2023', '27', '27 th round', 'PAR', 'Sunday', 'Away', '4:2', '5', '46'), ('20.12.2023', '28', '28 th round', 'PLZ', 'Wednesday', 'Home', '2:3sn', '5', '47'), ('26.12.2023', '29', '30 th round', 'LIB', 'Tuesday', 'Home', '6:3', '4', '50'), ('28.12.2023', '30', '31 th round', 'HRK', 'Thursday', 'Away', '5:1', '4', '53'), ('30.12.2023', '31', '32 th round', 'MBO', 'Saturday', 'Home', '6:1', '4', '56'), ('03.1.2024', '32', '47 th round', 'KVA', 'Wednesday', 'Home', '1:6', '4', '56'), ('05.1.2024', '33', '33 th round', 'TRI', 'Friday', 'Home', '5:2', '4', '59'), ('07.1.2024', '34', '34 th round', 'KVA', 'Sunday', 'Away', '1:2pp', '4', '60'), ('12.1.2024', '35', '35 th round', 'BUD', 'Friday', 'Home', '4:3pp', '4', '62'), ('14.1.2024', '36', '36 th round', 'SPA', 'Sunday', 'Away', '3:6', '4', '62'), ('17.1.2024', '37', '29 th round', 'BRN', 'Wednesday', 'Away', '1:3', '4', '62'), ('19.1.2024', '38', '37 th round', 'KLA', 'Friday', 'Home', '4:3', '4', '65'), ('21.1.2024', '39', '38 th round', 'VIT', 'Sunday', 'Away', '1:5', '4', '65'), ('23.1.2024', '40', '39 th round', 'OLO', 'Tuesday', 'Home', '4:1', '4', '68'), ('26.1.2024', '41', '40 th round', 'PAR', 'Friday', 'Home', '1:3', '4', '68'), ('28.1.2024', '42', '41 th round', 'PLZ', 'Sunday', 'Away', '5:3', '4', '71'), ('02.2.2024', '43', '42 th round', 'BRN', 'Friday', 'Home', '2:3', '4', '71'), ('04.2.2024', '44', '43 th round', 'LIB', 'Sunday', 'Away', '2:6', '6', '71'), ('14.2.2024', '45', '44 th round', 'HRK', 'Wednesday', 'Home', '5:6pp', '6', '72'), ('16.2.2024', '46', '45 th round', 'MBO', 'Friday', 'Away', '3:2', '5', '75'), ('18.2.2024', '47', '46 th round', 'TRI', 'Sunday', 'Away', '2:5', '6', '75'), ('23.2.2024', '48', '48 th round', 'BUD', 'Friday', 'Away', '7:4', '4', '78'), ('25.2.2024', '49', '49 th round', 'SPA', 'Sunday', 'Home', '3:8', '5', '78'), ('27.2.2024', '50', '50 th round', 'KLA', 'Tuesday', 'Away', '0:2', '7', '78'), ('01.3.2024', '51', '51 th round', 'VIT', 'Friday', 'Home', '5:4', '6', '81'), ('03.3.2024', '52', '52 th round', 'OLO', 'Sunday', 'Away', '4:3sn', '5', '83'), ('06.3.2024', '53', 'Playoff 1st round  1', 'PLZ', 'Wednesday', 'Home', '4:2', '', ''), ('07.3.2024', '54', 'Playoff 1st round  2', 'PLZ', 'Thursday', 'Home', '4:1', '', '')</v>
      </c>
    </row>
    <row r="402" spans="1:23" x14ac:dyDescent="0.25">
      <c r="A402" s="2">
        <v>45360</v>
      </c>
      <c r="B402" s="1">
        <v>55</v>
      </c>
      <c r="C402" s="1" t="s">
        <v>82</v>
      </c>
      <c r="D402" s="1" t="s">
        <v>0</v>
      </c>
      <c r="E402" s="1" t="s">
        <v>56</v>
      </c>
      <c r="F402" s="1" t="s">
        <v>155</v>
      </c>
      <c r="G402" s="3" t="s">
        <v>15</v>
      </c>
      <c r="L402" t="s">
        <v>154</v>
      </c>
      <c r="M402" t="str">
        <f>CONCATENATE("(","'",TEXT(A402,"dd.m.rrrrr"),"'",L402,"'",B402,"'",L402,"'",C402,"'",L402,"'",D402,"'",L402,"'",E402,"'",L402,"'",F402,"'",L402,"'",G402,"'",L402,"'",H402,"'",L402,"'",I402,"'",")")</f>
        <v>('09.3.2024', '55', 'Playoff 1st round  3', 'PLZ', 'Saturday', 'Away', '2:1pp', '', '')</v>
      </c>
      <c r="W402" t="str">
        <f t="shared" si="6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'17'), ('04.11.2022', '18', '18 th round', 'KLA', 'Friday', 'Away', '2:3pp', '14', '18'), ('06.11.2022', '19', '19 th round', 'KVA', 'Sunday', 'Home', '5:3', '12', '21'), ('18.11.2022', '20', '20 th round', 'HRK', 'Friday', 'Away', '0:3', '13', '21'), ('20.11.2022', '21', '21 th round', 'BRN', 'Sunday', 'Home', '5:1', '11', '24'), ('25.11.2022', '22', '22 th round', 'TRI', 'Friday', 'Home', '1:2pp', '12', '25'), ('27.11.2022', '23', '23 th round', 'MBO', 'Sunday', 'Away', '4:6', '12', '25'), ('29.11.2022', '24', '24 th round', 'PLZ', 'Tuesday', 'Home', '2:4', '12', '25'), ('04.12.2022', '25', '26 th round', 'OLO', 'Sunday', 'Home', '5:3', '12', '28'), ('06.12.2022', '26', '25 th round', 'PAR', 'Tuesday', 'Away', '0:1', '12', '28'), ('09.12.2022', '27', '27 th round', 'VIT', 'Friday', 'Home', '5:3', '12', '31'), ('11.12.2022', '28', '28 th round', 'SPA', 'Sunday', 'Home', '5:2', '12', '34'), ('20.12.2022', '29', '29 th round', 'LIB', 'Tuesday', 'Home', '3:2sn', '11', '36'), ('22.12.2022', '30', '30 th round', 'BUD', 'Thursday', 'Away', '5:2', '11', '39'), ('26.12.2022', '31', '31 th round', 'KLA', 'Monday', 'Home', '2:3', '11', '39'), ('28.12.2022', '32', '32 th round', 'KVA', 'Wednesday', 'Away', '0:3', '11', '39'), ('30.12.2022', '33', '33 th round', 'HRK', 'Friday', 'Home', '2:3pp', '11', '40'), ('03.1.2023', '34', '34 th round', 'BRN', 'Tuesday', 'Away', '1:3', '12', '40'), ('06.1.2023', '35', '35 th round', 'TRI', 'Friday', 'Away', '2:3pp', '11', '41'), ('08.1.2023', '36', '36 th round', 'MBO', 'Sunday', 'Home', '4:3', '10', '44'), ('13.1.2023', '37', '37 th round', 'PLZ', 'Friday', 'Away', '1:4', '11', '44'), ('15.1.2023', '38', '38 th round', 'PAR', 'Sunday', 'Home', '1:2', '11', '44'), ('20.1.2023', '39', '39 th round', 'OLO', 'Friday', 'Away', '8:1', '10', '47'), ('22.1.2023', '40', '40 th round', 'VIT', 'Sunday', 'Away', '3:2sn', '11', '49'), ('25.1.2023', '41', '41 th round', 'SPA', 'Wednesday', 'Away', '2:3', '12', '49'), ('27.1.2023', '42', '42 th round', 'LIB', 'Friday', 'Away', '1:5', '13', '49'), ('29.1.2023', '43', '43 th round', 'BUD', 'Sunday', 'Home', '1:0sn', '12', '51'), ('03.2.2023', '44', '44 th round', 'KLA', 'Friday', 'Away', '2:5', '12', '51'), ('05.2.2023', '45', '45 th round', 'KVA', 'Sunday', 'Home', '1:2pp', '12', '52'), ('15.2.2023', '46', '46 th round', 'HRK', 'Wednesday', 'Away', '0:3', '12', '52'), ('17.2.2023', '47', '47 th round', 'BRN', 'Friday', 'Home', '3:2sn', '12', '54'), ('19.2.2023', '48', '48 th round', 'TRI', 'Sunday', 'Home', '4:3pp', '12', '56'), ('24.2.2023', '49', '49 th round', 'MBO', 'Friday', 'Away', '2:1', '12', '59'), ('26.2.2023', '50', '50 th round', 'PLZ', 'Sunday', 'Home', '2:1', '11', '62'), ('03.3.2023', '51', '51 th round', 'PAR', 'Friday', 'Away', '3:2sn', '12', '64'), ('05.3.2023', '52', '52 th round', 'OLO', 'Sunday', 'Home', '5:1', '11', '67'), ('08.3.2023', '53', 'Playoff 1st round ', 'TRI', 'Wednesday', 'Away', '1:3', '', ''), ('09.3.2023', '54', 'Playoff 1st round ', 'TRI', 'Thursday', 'Away', '4:5pp', '', ''), ('11.3.2023', '55', 'Playoff 1st round ', 'TRI', 'Saturday', 'Home', '2:4', '', ''), ('15.9.2023', '1', '1st round', 'PAR', 'Friday', 'Away', '1:5', '13', '0'), ('17.9.2023', '2', '2nd round', 'PLZ', 'Sunday', 'Home', '4:2', '10', '3'), ('22.9.2023', '3', '3rd round', 'BRN', 'Friday', 'Away', '3:2', '7', '6'), ('24.9.2023', '4', '4 th round', 'LIB', 'Sunday', 'Home', '4:1', '3', '9'), ('27.9.2023', '5', '5 th round', 'HRK', 'Wednesday', 'Away', '3:2sn', '3', '11'), ('29.9.2023', '6', '6 th round', 'MBO', 'Friday', 'Home', '5:2', '3', '14'), ('01.10.2023', '7', '7 th round', 'TRI', 'Sunday', 'Home', '6:4', '2', '17'), ('06.10.2023', '8', '8 th round', 'KVA', 'Friday', 'Away', '4:1', '2', '20'), ('08.10.2023', '9', '9 th round', 'BUD', 'Sunday', 'Home', '4:3', '2', '23'), ('13.10.2023', '10', '10 th round', 'SPA', 'Friday', 'Home', '4:2', '2', '26'), ('15.10.2023', '11', '11 th round', 'KLA', 'Sunday', 'Home', '5:4pp', '2', '28'), ('20.10.2023', '12', '12 th round', 'VIT', 'Friday', 'Home', '6:3', '2', '31'), ('22.10.2023', '13', '13 th round', 'OLO', 'Sunday', 'Away', '1:2', '2', '31'), ('27.10.2023', '14', '14 th round', 'PAR', 'Friday', 'Home', '4:1', '1', '34'), ('29.10.2023', '15', '15 th round', 'PLZ', 'Sunday', 'Away', '2:5', '2', '34'), ('31.10.2023', '16', '16 th round', 'BRN', 'Tuesday', 'Home', '6:3', '2', '37'), ('03.11.2023', '17', '17 th round', 'LIB', 'Friday', 'Away', '2:5', '2', '37'), ('05.11.2023', '18', '18 th round', 'HRK', 'Sunday', 'Home', '0:2', '2', '37'), ('17.11.2023', '19', '19 th round', 'MBO', 'Friday', 'Away', '0:5', '3', '37'), ('19.11.2023', '20', '20 th round', 'TRI', 'Sunday', 'Away', '3:2pp', '3', '39'), ('24.11.2023', '21', '21 th round', 'KVA', 'Friday', 'Home', '6:4', '3', '42'), ('26.11.2023', '22', '22 th round', 'BUD', 'Sunday', 'Away', '0:1', '4', '42'), ('28.11.2023', '23', '23 th round', 'SPA', 'Tuesday', 'Away', '1:3', '4', '42'), ('01.12.2023', '24', '24 th round', 'KLA', 'Friday', 'Away', '0:3', '4', '42'), ('03.12.2023', '25', '25 th round', 'VIT', 'Sunday', 'Away', '2:6', '4', '42'), ('08.12.2023', '26', '26 th round', 'OLO', 'Friday', 'Home', '1:2pp', '5', '43'), ('10.12.2023', '27', '27 th round', 'PAR', 'Sunday', 'Away', '4:2', '5', '46'), ('20.12.2023', '28', '28 th round', 'PLZ', 'Wednesday', 'Home', '2:3sn', '5', '47'), ('26.12.2023', '29', '30 th round', 'LIB', 'Tuesday', 'Home', '6:3', '4', '50'), ('28.12.2023', '30', '31 th round', 'HRK', 'Thursday', 'Away', '5:1', '4', '53'), ('30.12.2023', '31', '32 th round', 'MBO', 'Saturday', 'Home', '6:1', '4', '56'), ('03.1.2024', '32', '47 th round', 'KVA', 'Wednesday', 'Home', '1:6', '4', '56'), ('05.1.2024', '33', '33 th round', 'TRI', 'Friday', 'Home', '5:2', '4', '59'), ('07.1.2024', '34', '34 th round', 'KVA', 'Sunday', 'Away', '1:2pp', '4', '60'), ('12.1.2024', '35', '35 th round', 'BUD', 'Friday', 'Home', '4:3pp', '4', '62'), ('14.1.2024', '36', '36 th round', 'SPA', 'Sunday', 'Away', '3:6', '4', '62'), ('17.1.2024', '37', '29 th round', 'BRN', 'Wednesday', 'Away', '1:3', '4', '62'), ('19.1.2024', '38', '37 th round', 'KLA', 'Friday', 'Home', '4:3', '4', '65'), ('21.1.2024', '39', '38 th round', 'VIT', 'Sunday', 'Away', '1:5', '4', '65'), ('23.1.2024', '40', '39 th round', 'OLO', 'Tuesday', 'Home', '4:1', '4', '68'), ('26.1.2024', '41', '40 th round', 'PAR', 'Friday', 'Home', '1:3', '4', '68'), ('28.1.2024', '42', '41 th round', 'PLZ', 'Sunday', 'Away', '5:3', '4', '71'), ('02.2.2024', '43', '42 th round', 'BRN', 'Friday', 'Home', '2:3', '4', '71'), ('04.2.2024', '44', '43 th round', 'LIB', 'Sunday', 'Away', '2:6', '6', '71'), ('14.2.2024', '45', '44 th round', 'HRK', 'Wednesday', 'Home', '5:6pp', '6', '72'), ('16.2.2024', '46', '45 th round', 'MBO', 'Friday', 'Away', '3:2', '5', '75'), ('18.2.2024', '47', '46 th round', 'TRI', 'Sunday', 'Away', '2:5', '6', '75'), ('23.2.2024', '48', '48 th round', 'BUD', 'Friday', 'Away', '7:4', '4', '78'), ('25.2.2024', '49', '49 th round', 'SPA', 'Sunday', 'Home', '3:8', '5', '78'), ('27.2.2024', '50', '50 th round', 'KLA', 'Tuesday', 'Away', '0:2', '7', '78'), ('01.3.2024', '51', '51 th round', 'VIT', 'Friday', 'Home', '5:4', '6', '81'), ('03.3.2024', '52', '52 th round', 'OLO', 'Sunday', 'Away', '4:3sn', '5', '83'), ('06.3.2024', '53', 'Playoff 1st round  1', 'PLZ', 'Wednesday', 'Home', '4:2', '', ''), ('07.3.2024', '54', 'Playoff 1st round  2', 'PLZ', 'Thursday', 'Home', '4:1', '', ''), ('09.3.2024', '55', 'Playoff 1st round  3', 'PLZ', 'Saturday', 'Away', '2:1pp', '', '')</v>
      </c>
    </row>
    <row r="403" spans="1:23" x14ac:dyDescent="0.25">
      <c r="A403" s="2">
        <v>45368</v>
      </c>
      <c r="B403" s="1">
        <v>56</v>
      </c>
      <c r="C403" s="1" t="s">
        <v>86</v>
      </c>
      <c r="D403" s="1" t="s">
        <v>11</v>
      </c>
      <c r="E403" s="1" t="s">
        <v>57</v>
      </c>
      <c r="F403" s="1" t="s">
        <v>155</v>
      </c>
      <c r="G403" s="3" t="s">
        <v>34</v>
      </c>
      <c r="L403" t="s">
        <v>154</v>
      </c>
      <c r="M403" t="str">
        <f>CONCATENATE("(","'",TEXT(A403,"dd.m.rrrrr"),"'",L403,"'",B403,"'",L403,"'",C403,"'",L403,"'",D403,"'",L403,"'",E403,"'",L403,"'",F403,"'",L403,"'",G403,"'",L403,"'",H403,"'",L403,"'",I403,"'",")")</f>
        <v>('17.3.2024', '56', 'Quarter-finale  1', 'BRN', 'Sunday', 'Away', '2:1sn', '', '')</v>
      </c>
      <c r="W403" t="str">
        <f t="shared" si="6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'17'), ('04.11.2022', '18', '18 th round', 'KLA', 'Friday', 'Away', '2:3pp', '14', '18'), ('06.11.2022', '19', '19 th round', 'KVA', 'Sunday', 'Home', '5:3', '12', '21'), ('18.11.2022', '20', '20 th round', 'HRK', 'Friday', 'Away', '0:3', '13', '21'), ('20.11.2022', '21', '21 th round', 'BRN', 'Sunday', 'Home', '5:1', '11', '24'), ('25.11.2022', '22', '22 th round', 'TRI', 'Friday', 'Home', '1:2pp', '12', '25'), ('27.11.2022', '23', '23 th round', 'MBO', 'Sunday', 'Away', '4:6', '12', '25'), ('29.11.2022', '24', '24 th round', 'PLZ', 'Tuesday', 'Home', '2:4', '12', '25'), ('04.12.2022', '25', '26 th round', 'OLO', 'Sunday', 'Home', '5:3', '12', '28'), ('06.12.2022', '26', '25 th round', 'PAR', 'Tuesday', 'Away', '0:1', '12', '28'), ('09.12.2022', '27', '27 th round', 'VIT', 'Friday', 'Home', '5:3', '12', '31'), ('11.12.2022', '28', '28 th round', 'SPA', 'Sunday', 'Home', '5:2', '12', '34'), ('20.12.2022', '29', '29 th round', 'LIB', 'Tuesday', 'Home', '3:2sn', '11', '36'), ('22.12.2022', '30', '30 th round', 'BUD', 'Thursday', 'Away', '5:2', '11', '39'), ('26.12.2022', '31', '31 th round', 'KLA', 'Monday', 'Home', '2:3', '11', '39'), ('28.12.2022', '32', '32 th round', 'KVA', 'Wednesday', 'Away', '0:3', '11', '39'), ('30.12.2022', '33', '33 th round', 'HRK', 'Friday', 'Home', '2:3pp', '11', '40'), ('03.1.2023', '34', '34 th round', 'BRN', 'Tuesday', 'Away', '1:3', '12', '40'), ('06.1.2023', '35', '35 th round', 'TRI', 'Friday', 'Away', '2:3pp', '11', '41'), ('08.1.2023', '36', '36 th round', 'MBO', 'Sunday', 'Home', '4:3', '10', '44'), ('13.1.2023', '37', '37 th round', 'PLZ', 'Friday', 'Away', '1:4', '11', '44'), ('15.1.2023', '38', '38 th round', 'PAR', 'Sunday', 'Home', '1:2', '11', '44'), ('20.1.2023', '39', '39 th round', 'OLO', 'Friday', 'Away', '8:1', '10', '47'), ('22.1.2023', '40', '40 th round', 'VIT', 'Sunday', 'Away', '3:2sn', '11', '49'), ('25.1.2023', '41', '41 th round', 'SPA', 'Wednesday', 'Away', '2:3', '12', '49'), ('27.1.2023', '42', '42 th round', 'LIB', 'Friday', 'Away', '1:5', '13', '49'), ('29.1.2023', '43', '43 th round', 'BUD', 'Sunday', 'Home', '1:0sn', '12', '51'), ('03.2.2023', '44', '44 th round', 'KLA', 'Friday', 'Away', '2:5', '12', '51'), ('05.2.2023', '45', '45 th round', 'KVA', 'Sunday', 'Home', '1:2pp', '12', '52'), ('15.2.2023', '46', '46 th round', 'HRK', 'Wednesday', 'Away', '0:3', '12', '52'), ('17.2.2023', '47', '47 th round', 'BRN', 'Friday', 'Home', '3:2sn', '12', '54'), ('19.2.2023', '48', '48 th round', 'TRI', 'Sunday', 'Home', '4:3pp', '12', '56'), ('24.2.2023', '49', '49 th round', 'MBO', 'Friday', 'Away', '2:1', '12', '59'), ('26.2.2023', '50', '50 th round', 'PLZ', 'Sunday', 'Home', '2:1', '11', '62'), ('03.3.2023', '51', '51 th round', 'PAR', 'Friday', 'Away', '3:2sn', '12', '64'), ('05.3.2023', '52', '52 th round', 'OLO', 'Sunday', 'Home', '5:1', '11', '67'), ('08.3.2023', '53', 'Playoff 1st round ', 'TRI', 'Wednesday', 'Away', '1:3', '', ''), ('09.3.2023', '54', 'Playoff 1st round ', 'TRI', 'Thursday', 'Away', '4:5pp', '', ''), ('11.3.2023', '55', 'Playoff 1st round ', 'TRI', 'Saturday', 'Home', '2:4', '', ''), ('15.9.2023', '1', '1st round', 'PAR', 'Friday', 'Away', '1:5', '13', '0'), ('17.9.2023', '2', '2nd round', 'PLZ', 'Sunday', 'Home', '4:2', '10', '3'), ('22.9.2023', '3', '3rd round', 'BRN', 'Friday', 'Away', '3:2', '7', '6'), ('24.9.2023', '4', '4 th round', 'LIB', 'Sunday', 'Home', '4:1', '3', '9'), ('27.9.2023', '5', '5 th round', 'HRK', 'Wednesday', 'Away', '3:2sn', '3', '11'), ('29.9.2023', '6', '6 th round', 'MBO', 'Friday', 'Home', '5:2', '3', '14'), ('01.10.2023', '7', '7 th round', 'TRI', 'Sunday', 'Home', '6:4', '2', '17'), ('06.10.2023', '8', '8 th round', 'KVA', 'Friday', 'Away', '4:1', '2', '20'), ('08.10.2023', '9', '9 th round', 'BUD', 'Sunday', 'Home', '4:3', '2', '23'), ('13.10.2023', '10', '10 th round', 'SPA', 'Friday', 'Home', '4:2', '2', '26'), ('15.10.2023', '11', '11 th round', 'KLA', 'Sunday', 'Home', '5:4pp', '2', '28'), ('20.10.2023', '12', '12 th round', 'VIT', 'Friday', 'Home', '6:3', '2', '31'), ('22.10.2023', '13', '13 th round', 'OLO', 'Sunday', 'Away', '1:2', '2', '31'), ('27.10.2023', '14', '14 th round', 'PAR', 'Friday', 'Home', '4:1', '1', '34'), ('29.10.2023', '15', '15 th round', 'PLZ', 'Sunday', 'Away', '2:5', '2', '34'), ('31.10.2023', '16', '16 th round', 'BRN', 'Tuesday', 'Home', '6:3', '2', '37'), ('03.11.2023', '17', '17 th round', 'LIB', 'Friday', 'Away', '2:5', '2', '37'), ('05.11.2023', '18', '18 th round', 'HRK', 'Sunday', 'Home', '0:2', '2', '37'), ('17.11.2023', '19', '19 th round', 'MBO', 'Friday', 'Away', '0:5', '3', '37'), ('19.11.2023', '20', '20 th round', 'TRI', 'Sunday', 'Away', '3:2pp', '3', '39'), ('24.11.2023', '21', '21 th round', 'KVA', 'Friday', 'Home', '6:4', '3', '42'), ('26.11.2023', '22', '22 th round', 'BUD', 'Sunday', 'Away', '0:1', '4', '42'), ('28.11.2023', '23', '23 th round', 'SPA', 'Tuesday', 'Away', '1:3', '4', '42'), ('01.12.2023', '24', '24 th round', 'KLA', 'Friday', 'Away', '0:3', '4', '42'), ('03.12.2023', '25', '25 th round', 'VIT', 'Sunday', 'Away', '2:6', '4', '42'), ('08.12.2023', '26', '26 th round', 'OLO', 'Friday', 'Home', '1:2pp', '5', '43'), ('10.12.2023', '27', '27 th round', 'PAR', 'Sunday', 'Away', '4:2', '5', '46'), ('20.12.2023', '28', '28 th round', 'PLZ', 'Wednesday', 'Home', '2:3sn', '5', '47'), ('26.12.2023', '29', '30 th round', 'LIB', 'Tuesday', 'Home', '6:3', '4', '50'), ('28.12.2023', '30', '31 th round', 'HRK', 'Thursday', 'Away', '5:1', '4', '53'), ('30.12.2023', '31', '32 th round', 'MBO', 'Saturday', 'Home', '6:1', '4', '56'), ('03.1.2024', '32', '47 th round', 'KVA', 'Wednesday', 'Home', '1:6', '4', '56'), ('05.1.2024', '33', '33 th round', 'TRI', 'Friday', 'Home', '5:2', '4', '59'), ('07.1.2024', '34', '34 th round', 'KVA', 'Sunday', 'Away', '1:2pp', '4', '60'), ('12.1.2024', '35', '35 th round', 'BUD', 'Friday', 'Home', '4:3pp', '4', '62'), ('14.1.2024', '36', '36 th round', 'SPA', 'Sunday', 'Away', '3:6', '4', '62'), ('17.1.2024', '37', '29 th round', 'BRN', 'Wednesday', 'Away', '1:3', '4', '62'), ('19.1.2024', '38', '37 th round', 'KLA', 'Friday', 'Home', '4:3', '4', '65'), ('21.1.2024', '39', '38 th round', 'VIT', 'Sunday', 'Away', '1:5', '4', '65'), ('23.1.2024', '40', '39 th round', 'OLO', 'Tuesday', 'Home', '4:1', '4', '68'), ('26.1.2024', '41', '40 th round', 'PAR', 'Friday', 'Home', '1:3', '4', '68'), ('28.1.2024', '42', '41 th round', 'PLZ', 'Sunday', 'Away', '5:3', '4', '71'), ('02.2.2024', '43', '42 th round', 'BRN', 'Friday', 'Home', '2:3', '4', '71'), ('04.2.2024', '44', '43 th round', 'LIB', 'Sunday', 'Away', '2:6', '6', '71'), ('14.2.2024', '45', '44 th round', 'HRK', 'Wednesday', 'Home', '5:6pp', '6', '72'), ('16.2.2024', '46', '45 th round', 'MBO', 'Friday', 'Away', '3:2', '5', '75'), ('18.2.2024', '47', '46 th round', 'TRI', 'Sunday', 'Away', '2:5', '6', '75'), ('23.2.2024', '48', '48 th round', 'BUD', 'Friday', 'Away', '7:4', '4', '78'), ('25.2.2024', '49', '49 th round', 'SPA', 'Sunday', 'Home', '3:8', '5', '78'), ('27.2.2024', '50', '50 th round', 'KLA', 'Tuesday', 'Away', '0:2', '7', '78'), ('01.3.2024', '51', '51 th round', 'VIT', 'Friday', 'Home', '5:4', '6', '81'), ('03.3.2024', '52', '52 th round', 'OLO', 'Sunday', 'Away', '4:3sn', '5', '83'), ('06.3.2024', '53', 'Playoff 1st round  1', 'PLZ', 'Wednesday', 'Home', '4:2', '', ''), ('07.3.2024', '54', 'Playoff 1st round  2', 'PLZ', 'Thursday', 'Home', '4:1', '', ''), ('09.3.2024', '55', 'Playoff 1st round  3', 'PLZ', 'Saturday', 'Away', '2:1pp', '', ''), ('17.3.2024', '56', 'Quarter-finale  1', 'BRN', 'Sunday', 'Away', '2:1sn', '', '')</v>
      </c>
    </row>
    <row r="404" spans="1:23" x14ac:dyDescent="0.25">
      <c r="A404" s="2">
        <v>45369</v>
      </c>
      <c r="B404" s="1">
        <v>57</v>
      </c>
      <c r="C404" s="1" t="s">
        <v>87</v>
      </c>
      <c r="D404" s="1" t="s">
        <v>11</v>
      </c>
      <c r="E404" s="1" t="s">
        <v>58</v>
      </c>
      <c r="F404" s="1" t="s">
        <v>155</v>
      </c>
      <c r="G404" s="11" t="s">
        <v>195</v>
      </c>
      <c r="L404" t="s">
        <v>154</v>
      </c>
      <c r="M404" t="str">
        <f>CONCATENATE("(","'",TEXT(A404,"dd.m.rrrrr"),"'",L404,"'",B404,"'",L404,"'",C404,"'",L404,"'",D404,"'",L404,"'",E404,"'",L404,"'",F404,"'",L404,"'",G404,"'",L404,"'",H404,"'",L404,"'",I404,"'",")")</f>
        <v>('18.3.2024', '57', 'Quarter-finale  2', 'BRN', 'Monday', 'Away', '5:1', '', '')</v>
      </c>
      <c r="W404" t="str">
        <f t="shared" si="6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'17'), ('04.11.2022', '18', '18 th round', 'KLA', 'Friday', 'Away', '2:3pp', '14', '18'), ('06.11.2022', '19', '19 th round', 'KVA', 'Sunday', 'Home', '5:3', '12', '21'), ('18.11.2022', '20', '20 th round', 'HRK', 'Friday', 'Away', '0:3', '13', '21'), ('20.11.2022', '21', '21 th round', 'BRN', 'Sunday', 'Home', '5:1', '11', '24'), ('25.11.2022', '22', '22 th round', 'TRI', 'Friday', 'Home', '1:2pp', '12', '25'), ('27.11.2022', '23', '23 th round', 'MBO', 'Sunday', 'Away', '4:6', '12', '25'), ('29.11.2022', '24', '24 th round', 'PLZ', 'Tuesday', 'Home', '2:4', '12', '25'), ('04.12.2022', '25', '26 th round', 'OLO', 'Sunday', 'Home', '5:3', '12', '28'), ('06.12.2022', '26', '25 th round', 'PAR', 'Tuesday', 'Away', '0:1', '12', '28'), ('09.12.2022', '27', '27 th round', 'VIT', 'Friday', 'Home', '5:3', '12', '31'), ('11.12.2022', '28', '28 th round', 'SPA', 'Sunday', 'Home', '5:2', '12', '34'), ('20.12.2022', '29', '29 th round', 'LIB', 'Tuesday', 'Home', '3:2sn', '11', '36'), ('22.12.2022', '30', '30 th round', 'BUD', 'Thursday', 'Away', '5:2', '11', '39'), ('26.12.2022', '31', '31 th round', 'KLA', 'Monday', 'Home', '2:3', '11', '39'), ('28.12.2022', '32', '32 th round', 'KVA', 'Wednesday', 'Away', '0:3', '11', '39'), ('30.12.2022', '33', '33 th round', 'HRK', 'Friday', 'Home', '2:3pp', '11', '40'), ('03.1.2023', '34', '34 th round', 'BRN', 'Tuesday', 'Away', '1:3', '12', '40'), ('06.1.2023', '35', '35 th round', 'TRI', 'Friday', 'Away', '2:3pp', '11', '41'), ('08.1.2023', '36', '36 th round', 'MBO', 'Sunday', 'Home', '4:3', '10', '44'), ('13.1.2023', '37', '37 th round', 'PLZ', 'Friday', 'Away', '1:4', '11', '44'), ('15.1.2023', '38', '38 th round', 'PAR', 'Sunday', 'Home', '1:2', '11', '44'), ('20.1.2023', '39', '39 th round', 'OLO', 'Friday', 'Away', '8:1', '10', '47'), ('22.1.2023', '40', '40 th round', 'VIT', 'Sunday', 'Away', '3:2sn', '11', '49'), ('25.1.2023', '41', '41 th round', 'SPA', 'Wednesday', 'Away', '2:3', '12', '49'), ('27.1.2023', '42', '42 th round', 'LIB', 'Friday', 'Away', '1:5', '13', '49'), ('29.1.2023', '43', '43 th round', 'BUD', 'Sunday', 'Home', '1:0sn', '12', '51'), ('03.2.2023', '44', '44 th round', 'KLA', 'Friday', 'Away', '2:5', '12', '51'), ('05.2.2023', '45', '45 th round', 'KVA', 'Sunday', 'Home', '1:2pp', '12', '52'), ('15.2.2023', '46', '46 th round', 'HRK', 'Wednesday', 'Away', '0:3', '12', '52'), ('17.2.2023', '47', '47 th round', 'BRN', 'Friday', 'Home', '3:2sn', '12', '54'), ('19.2.2023', '48', '48 th round', 'TRI', 'Sunday', 'Home', '4:3pp', '12', '56'), ('24.2.2023', '49', '49 th round', 'MBO', 'Friday', 'Away', '2:1', '12', '59'), ('26.2.2023', '50', '50 th round', 'PLZ', 'Sunday', 'Home', '2:1', '11', '62'), ('03.3.2023', '51', '51 th round', 'PAR', 'Friday', 'Away', '3:2sn', '12', '64'), ('05.3.2023', '52', '52 th round', 'OLO', 'Sunday', 'Home', '5:1', '11', '67'), ('08.3.2023', '53', 'Playoff 1st round ', 'TRI', 'Wednesday', 'Away', '1:3', '', ''), ('09.3.2023', '54', 'Playoff 1st round ', 'TRI', 'Thursday', 'Away', '4:5pp', '', ''), ('11.3.2023', '55', 'Playoff 1st round ', 'TRI', 'Saturday', 'Home', '2:4', '', ''), ('15.9.2023', '1', '1st round', 'PAR', 'Friday', 'Away', '1:5', '13', '0'), ('17.9.2023', '2', '2nd round', 'PLZ', 'Sunday', 'Home', '4:2', '10', '3'), ('22.9.2023', '3', '3rd round', 'BRN', 'Friday', 'Away', '3:2', '7', '6'), ('24.9.2023', '4', '4 th round', 'LIB', 'Sunday', 'Home', '4:1', '3', '9'), ('27.9.2023', '5', '5 th round', 'HRK', 'Wednesday', 'Away', '3:2sn', '3', '11'), ('29.9.2023', '6', '6 th round', 'MBO', 'Friday', 'Home', '5:2', '3', '14'), ('01.10.2023', '7', '7 th round', 'TRI', 'Sunday', 'Home', '6:4', '2', '17'), ('06.10.2023', '8', '8 th round', 'KVA', 'Friday', 'Away', '4:1', '2', '20'), ('08.10.2023', '9', '9 th round', 'BUD', 'Sunday', 'Home', '4:3', '2', '23'), ('13.10.2023', '10', '10 th round', 'SPA', 'Friday', 'Home', '4:2', '2', '26'), ('15.10.2023', '11', '11 th round', 'KLA', 'Sunday', 'Home', '5:4pp', '2', '28'), ('20.10.2023', '12', '12 th round', 'VIT', 'Friday', 'Home', '6:3', '2', '31'), ('22.10.2023', '13', '13 th round', 'OLO', 'Sunday', 'Away', '1:2', '2', '31'), ('27.10.2023', '14', '14 th round', 'PAR', 'Friday', 'Home', '4:1', '1', '34'), ('29.10.2023', '15', '15 th round', 'PLZ', 'Sunday', 'Away', '2:5', '2', '34'), ('31.10.2023', '16', '16 th round', 'BRN', 'Tuesday', 'Home', '6:3', '2', '37'), ('03.11.2023', '17', '17 th round', 'LIB', 'Friday', 'Away', '2:5', '2', '37'), ('05.11.2023', '18', '18 th round', 'HRK', 'Sunday', 'Home', '0:2', '2', '37'), ('17.11.2023', '19', '19 th round', 'MBO', 'Friday', 'Away', '0:5', '3', '37'), ('19.11.2023', '20', '20 th round', 'TRI', 'Sunday', 'Away', '3:2pp', '3', '39'), ('24.11.2023', '21', '21 th round', 'KVA', 'Friday', 'Home', '6:4', '3', '42'), ('26.11.2023', '22', '22 th round', 'BUD', 'Sunday', 'Away', '0:1', '4', '42'), ('28.11.2023', '23', '23 th round', 'SPA', 'Tuesday', 'Away', '1:3', '4', '42'), ('01.12.2023', '24', '24 th round', 'KLA', 'Friday', 'Away', '0:3', '4', '42'), ('03.12.2023', '25', '25 th round', 'VIT', 'Sunday', 'Away', '2:6', '4', '42'), ('08.12.2023', '26', '26 th round', 'OLO', 'Friday', 'Home', '1:2pp', '5', '43'), ('10.12.2023', '27', '27 th round', 'PAR', 'Sunday', 'Away', '4:2', '5', '46'), ('20.12.2023', '28', '28 th round', 'PLZ', 'Wednesday', 'Home', '2:3sn', '5', '47'), ('26.12.2023', '29', '30 th round', 'LIB', 'Tuesday', 'Home', '6:3', '4', '50'), ('28.12.2023', '30', '31 th round', 'HRK', 'Thursday', 'Away', '5:1', '4', '53'), ('30.12.2023', '31', '32 th round', 'MBO', 'Saturday', 'Home', '6:1', '4', '56'), ('03.1.2024', '32', '47 th round', 'KVA', 'Wednesday', 'Home', '1:6', '4', '56'), ('05.1.2024', '33', '33 th round', 'TRI', 'Friday', 'Home', '5:2', '4', '59'), ('07.1.2024', '34', '34 th round', 'KVA', 'Sunday', 'Away', '1:2pp', '4', '60'), ('12.1.2024', '35', '35 th round', 'BUD', 'Friday', 'Home', '4:3pp', '4', '62'), ('14.1.2024', '36', '36 th round', 'SPA', 'Sunday', 'Away', '3:6', '4', '62'), ('17.1.2024', '37', '29 th round', 'BRN', 'Wednesday', 'Away', '1:3', '4', '62'), ('19.1.2024', '38', '37 th round', 'KLA', 'Friday', 'Home', '4:3', '4', '65'), ('21.1.2024', '39', '38 th round', 'VIT', 'Sunday', 'Away', '1:5', '4', '65'), ('23.1.2024', '40', '39 th round', 'OLO', 'Tuesday', 'Home', '4:1', '4', '68'), ('26.1.2024', '41', '40 th round', 'PAR', 'Friday', 'Home', '1:3', '4', '68'), ('28.1.2024', '42', '41 th round', 'PLZ', 'Sunday', 'Away', '5:3', '4', '71'), ('02.2.2024', '43', '42 th round', 'BRN', 'Friday', 'Home', '2:3', '4', '71'), ('04.2.2024', '44', '43 th round', 'LIB', 'Sunday', 'Away', '2:6', '6', '71'), ('14.2.2024', '45', '44 th round', 'HRK', 'Wednesday', 'Home', '5:6pp', '6', '72'), ('16.2.2024', '46', '45 th round', 'MBO', 'Friday', 'Away', '3:2', '5', '75'), ('18.2.2024', '47', '46 th round', 'TRI', 'Sunday', 'Away', '2:5', '6', '75'), ('23.2.2024', '48', '48 th round', 'BUD', 'Friday', 'Away', '7:4', '4', '78'), ('25.2.2024', '49', '49 th round', 'SPA', 'Sunday', 'Home', '3:8', '5', '78'), ('27.2.2024', '50', '50 th round', 'KLA', 'Tuesday', 'Away', '0:2', '7', '78'), ('01.3.2024', '51', '51 th round', 'VIT', 'Friday', 'Home', '5:4', '6', '81'), ('03.3.2024', '52', '52 th round', 'OLO', 'Sunday', 'Away', '4:3sn', '5', '83'), ('06.3.2024', '53', 'Playoff 1st round  1', 'PLZ', 'Wednesday', 'Home', '4:2', '', ''), ('07.3.2024', '54', 'Playoff 1st round  2', 'PLZ', 'Thursday', 'Home', '4:1', '', ''), ('09.3.2024', '55', 'Playoff 1st round  3', 'PLZ', 'Saturday', 'Away', '2:1pp', '', ''), ('17.3.2024', '56', 'Quarter-finale  1', 'BRN', 'Sunday', 'Away', '2:1sn', '', ''), ('18.3.2024', '57', 'Quarter-finale  2', 'BRN', 'Monday', 'Away', '5:1', '', '')</v>
      </c>
    </row>
    <row r="405" spans="1:23" x14ac:dyDescent="0.25">
      <c r="A405" s="2">
        <v>45372</v>
      </c>
      <c r="B405" s="1">
        <v>58</v>
      </c>
      <c r="C405" s="1" t="s">
        <v>88</v>
      </c>
      <c r="D405" s="1" t="s">
        <v>11</v>
      </c>
      <c r="E405" s="1" t="s">
        <v>61</v>
      </c>
      <c r="F405" s="1" t="s">
        <v>157</v>
      </c>
      <c r="G405" s="11" t="s">
        <v>181</v>
      </c>
      <c r="L405" t="s">
        <v>154</v>
      </c>
      <c r="M405" t="str">
        <f>CONCATENATE("(","'",TEXT(A405,"dd.m.rrrrr"),"'",L405,"'",B405,"'",L405,"'",C405,"'",L405,"'",D405,"'",L405,"'",E405,"'",L405,"'",F405,"'",L405,"'",G405,"'",L405,"'",H405,"'",L405,"'",I405,"'",")")</f>
        <v>('21.3.2024', '58', 'Quarter-finale  3', 'BRN', 'Thursday', 'Home', '3:4', '', '')</v>
      </c>
      <c r="W405" t="str">
        <f t="shared" si="6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'17'), ('04.11.2022', '18', '18 th round', 'KLA', 'Friday', 'Away', '2:3pp', '14', '18'), ('06.11.2022', '19', '19 th round', 'KVA', 'Sunday', 'Home', '5:3', '12', '21'), ('18.11.2022', '20', '20 th round', 'HRK', 'Friday', 'Away', '0:3', '13', '21'), ('20.11.2022', '21', '21 th round', 'BRN', 'Sunday', 'Home', '5:1', '11', '24'), ('25.11.2022', '22', '22 th round', 'TRI', 'Friday', 'Home', '1:2pp', '12', '25'), ('27.11.2022', '23', '23 th round', 'MBO', 'Sunday', 'Away', '4:6', '12', '25'), ('29.11.2022', '24', '24 th round', 'PLZ', 'Tuesday', 'Home', '2:4', '12', '25'), ('04.12.2022', '25', '26 th round', 'OLO', 'Sunday', 'Home', '5:3', '12', '28'), ('06.12.2022', '26', '25 th round', 'PAR', 'Tuesday', 'Away', '0:1', '12', '28'), ('09.12.2022', '27', '27 th round', 'VIT', 'Friday', 'Home', '5:3', '12', '31'), ('11.12.2022', '28', '28 th round', 'SPA', 'Sunday', 'Home', '5:2', '12', '34'), ('20.12.2022', '29', '29 th round', 'LIB', 'Tuesday', 'Home', '3:2sn', '11', '36'), ('22.12.2022', '30', '30 th round', 'BUD', 'Thursday', 'Away', '5:2', '11', '39'), ('26.12.2022', '31', '31 th round', 'KLA', 'Monday', 'Home', '2:3', '11', '39'), ('28.12.2022', '32', '32 th round', 'KVA', 'Wednesday', 'Away', '0:3', '11', '39'), ('30.12.2022', '33', '33 th round', 'HRK', 'Friday', 'Home', '2:3pp', '11', '40'), ('03.1.2023', '34', '34 th round', 'BRN', 'Tuesday', 'Away', '1:3', '12', '40'), ('06.1.2023', '35', '35 th round', 'TRI', 'Friday', 'Away', '2:3pp', '11', '41'), ('08.1.2023', '36', '36 th round', 'MBO', 'Sunday', 'Home', '4:3', '10', '44'), ('13.1.2023', '37', '37 th round', 'PLZ', 'Friday', 'Away', '1:4', '11', '44'), ('15.1.2023', '38', '38 th round', 'PAR', 'Sunday', 'Home', '1:2', '11', '44'), ('20.1.2023', '39', '39 th round', 'OLO', 'Friday', 'Away', '8:1', '10', '47'), ('22.1.2023', '40', '40 th round', 'VIT', 'Sunday', 'Away', '3:2sn', '11', '49'), ('25.1.2023', '41', '41 th round', 'SPA', 'Wednesday', 'Away', '2:3', '12', '49'), ('27.1.2023', '42', '42 th round', 'LIB', 'Friday', 'Away', '1:5', '13', '49'), ('29.1.2023', '43', '43 th round', 'BUD', 'Sunday', 'Home', '1:0sn', '12', '51'), ('03.2.2023', '44', '44 th round', 'KLA', 'Friday', 'Away', '2:5', '12', '51'), ('05.2.2023', '45', '45 th round', 'KVA', 'Sunday', 'Home', '1:2pp', '12', '52'), ('15.2.2023', '46', '46 th round', 'HRK', 'Wednesday', 'Away', '0:3', '12', '52'), ('17.2.2023', '47', '47 th round', 'BRN', 'Friday', 'Home', '3:2sn', '12', '54'), ('19.2.2023', '48', '48 th round', 'TRI', 'Sunday', 'Home', '4:3pp', '12', '56'), ('24.2.2023', '49', '49 th round', 'MBO', 'Friday', 'Away', '2:1', '12', '59'), ('26.2.2023', '50', '50 th round', 'PLZ', 'Sunday', 'Home', '2:1', '11', '62'), ('03.3.2023', '51', '51 th round', 'PAR', 'Friday', 'Away', '3:2sn', '12', '64'), ('05.3.2023', '52', '52 th round', 'OLO', 'Sunday', 'Home', '5:1', '11', '67'), ('08.3.2023', '53', 'Playoff 1st round ', 'TRI', 'Wednesday', 'Away', '1:3', '', ''), ('09.3.2023', '54', 'Playoff 1st round ', 'TRI', 'Thursday', 'Away', '4:5pp', '', ''), ('11.3.2023', '55', 'Playoff 1st round ', 'TRI', 'Saturday', 'Home', '2:4', '', ''), ('15.9.2023', '1', '1st round', 'PAR', 'Friday', 'Away', '1:5', '13', '0'), ('17.9.2023', '2', '2nd round', 'PLZ', 'Sunday', 'Home', '4:2', '10', '3'), ('22.9.2023', '3', '3rd round', 'BRN', 'Friday', 'Away', '3:2', '7', '6'), ('24.9.2023', '4', '4 th round', 'LIB', 'Sunday', 'Home', '4:1', '3', '9'), ('27.9.2023', '5', '5 th round', 'HRK', 'Wednesday', 'Away', '3:2sn', '3', '11'), ('29.9.2023', '6', '6 th round', 'MBO', 'Friday', 'Home', '5:2', '3', '14'), ('01.10.2023', '7', '7 th round', 'TRI', 'Sunday', 'Home', '6:4', '2', '17'), ('06.10.2023', '8', '8 th round', 'KVA', 'Friday', 'Away', '4:1', '2', '20'), ('08.10.2023', '9', '9 th round', 'BUD', 'Sunday', 'Home', '4:3', '2', '23'), ('13.10.2023', '10', '10 th round', 'SPA', 'Friday', 'Home', '4:2', '2', '26'), ('15.10.2023', '11', '11 th round', 'KLA', 'Sunday', 'Home', '5:4pp', '2', '28'), ('20.10.2023', '12', '12 th round', 'VIT', 'Friday', 'Home', '6:3', '2', '31'), ('22.10.2023', '13', '13 th round', 'OLO', 'Sunday', 'Away', '1:2', '2', '31'), ('27.10.2023', '14', '14 th round', 'PAR', 'Friday', 'Home', '4:1', '1', '34'), ('29.10.2023', '15', '15 th round', 'PLZ', 'Sunday', 'Away', '2:5', '2', '34'), ('31.10.2023', '16', '16 th round', 'BRN', 'Tuesday', 'Home', '6:3', '2', '37'), ('03.11.2023', '17', '17 th round', 'LIB', 'Friday', 'Away', '2:5', '2', '37'), ('05.11.2023', '18', '18 th round', 'HRK', 'Sunday', 'Home', '0:2', '2', '37'), ('17.11.2023', '19', '19 th round', 'MBO', 'Friday', 'Away', '0:5', '3', '37'), ('19.11.2023', '20', '20 th round', 'TRI', 'Sunday', 'Away', '3:2pp', '3', '39'), ('24.11.2023', '21', '21 th round', 'KVA', 'Friday', 'Home', '6:4', '3', '42'), ('26.11.2023', '22', '22 th round', 'BUD', 'Sunday', 'Away', '0:1', '4', '42'), ('28.11.2023', '23', '23 th round', 'SPA', 'Tuesday', 'Away', '1:3', '4', '42'), ('01.12.2023', '24', '24 th round', 'KLA', 'Friday', 'Away', '0:3', '4', '42'), ('03.12.2023', '25', '25 th round', 'VIT', 'Sunday', 'Away', '2:6', '4', '42'), ('08.12.2023', '26', '26 th round', 'OLO', 'Friday', 'Home', '1:2pp', '5', '43'), ('10.12.2023', '27', '27 th round', 'PAR', 'Sunday', 'Away', '4:2', '5', '46'), ('20.12.2023', '28', '28 th round', 'PLZ', 'Wednesday', 'Home', '2:3sn', '5', '47'), ('26.12.2023', '29', '30 th round', 'LIB', 'Tuesday', 'Home', '6:3', '4', '50'), ('28.12.2023', '30', '31 th round', 'HRK', 'Thursday', 'Away', '5:1', '4', '53'), ('30.12.2023', '31', '32 th round', 'MBO', 'Saturday', 'Home', '6:1', '4', '56'), ('03.1.2024', '32', '47 th round', 'KVA', 'Wednesday', 'Home', '1:6', '4', '56'), ('05.1.2024', '33', '33 th round', 'TRI', 'Friday', 'Home', '5:2', '4', '59'), ('07.1.2024', '34', '34 th round', 'KVA', 'Sunday', 'Away', '1:2pp', '4', '60'), ('12.1.2024', '35', '35 th round', 'BUD', 'Friday', 'Home', '4:3pp', '4', '62'), ('14.1.2024', '36', '36 th round', 'SPA', 'Sunday', 'Away', '3:6', '4', '62'), ('17.1.2024', '37', '29 th round', 'BRN', 'Wednesday', 'Away', '1:3', '4', '62'), ('19.1.2024', '38', '37 th round', 'KLA', 'Friday', 'Home', '4:3', '4', '65'), ('21.1.2024', '39', '38 th round', 'VIT', 'Sunday', 'Away', '1:5', '4', '65'), ('23.1.2024', '40', '39 th round', 'OLO', 'Tuesday', 'Home', '4:1', '4', '68'), ('26.1.2024', '41', '40 th round', 'PAR', 'Friday', 'Home', '1:3', '4', '68'), ('28.1.2024', '42', '41 th round', 'PLZ', 'Sunday', 'Away', '5:3', '4', '71'), ('02.2.2024', '43', '42 th round', 'BRN', 'Friday', 'Home', '2:3', '4', '71'), ('04.2.2024', '44', '43 th round', 'LIB', 'Sunday', 'Away', '2:6', '6', '71'), ('14.2.2024', '45', '44 th round', 'HRK', 'Wednesday', 'Home', '5:6pp', '6', '72'), ('16.2.2024', '46', '45 th round', 'MBO', 'Friday', 'Away', '3:2', '5', '75'), ('18.2.2024', '47', '46 th round', 'TRI', 'Sunday', 'Away', '2:5', '6', '75'), ('23.2.2024', '48', '48 th round', 'BUD', 'Friday', 'Away', '7:4', '4', '78'), ('25.2.2024', '49', '49 th round', 'SPA', 'Sunday', 'Home', '3:8', '5', '78'), ('27.2.2024', '50', '50 th round', 'KLA', 'Tuesday', 'Away', '0:2', '7', '78'), ('01.3.2024', '51', '51 th round', 'VIT', 'Friday', 'Home', '5:4', '6', '81'), ('03.3.2024', '52', '52 th round', 'OLO', 'Sunday', 'Away', '4:3sn', '5', '83'), ('06.3.2024', '53', 'Playoff 1st round  1', 'PLZ', 'Wednesday', 'Home', '4:2', '', ''), ('07.3.2024', '54', 'Playoff 1st round  2', 'PLZ', 'Thursday', 'Home', '4:1', '', ''), ('09.3.2024', '55', 'Playoff 1st round  3', 'PLZ', 'Saturday', 'Away', '2:1pp', '', ''), ('17.3.2024', '56', 'Quarter-finale  1', 'BRN', 'Sunday', 'Away', '2:1sn', '', ''), ('18.3.2024', '57', 'Quarter-finale  2', 'BRN', 'Monday', 'Away', '5:1', '', ''), ('21.3.2024', '58', 'Quarter-finale  3', 'BRN', 'Thursday', 'Home', '3:4', '', '')</v>
      </c>
    </row>
    <row r="406" spans="1:23" x14ac:dyDescent="0.25">
      <c r="A406" s="2">
        <v>45373</v>
      </c>
      <c r="B406" s="1">
        <v>59</v>
      </c>
      <c r="C406" s="1" t="s">
        <v>89</v>
      </c>
      <c r="D406" s="1" t="s">
        <v>11</v>
      </c>
      <c r="E406" s="1" t="s">
        <v>55</v>
      </c>
      <c r="F406" s="1" t="s">
        <v>157</v>
      </c>
      <c r="G406" s="11" t="s">
        <v>160</v>
      </c>
      <c r="L406" t="s">
        <v>154</v>
      </c>
      <c r="M406" t="str">
        <f>CONCATENATE("(","'",TEXT(A406,"dd.m.rrrrr"),"'",L406,"'",B406,"'",L406,"'",C406,"'",L406,"'",D406,"'",L406,"'",E406,"'",L406,"'",F406,"'",L406,"'",G406,"'",L406,"'",H406,"'",L406,"'",I406,"'",")")</f>
        <v>('22.3.2024', '59', 'Quarter-finale  4', 'BRN', 'Friday', 'Home', '1:5', '', '')</v>
      </c>
      <c r="W406" t="str">
        <f t="shared" si="6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'17'), ('04.11.2022', '18', '18 th round', 'KLA', 'Friday', 'Away', '2:3pp', '14', '18'), ('06.11.2022', '19', '19 th round', 'KVA', 'Sunday', 'Home', '5:3', '12', '21'), ('18.11.2022', '20', '20 th round', 'HRK', 'Friday', 'Away', '0:3', '13', '21'), ('20.11.2022', '21', '21 th round', 'BRN', 'Sunday', 'Home', '5:1', '11', '24'), ('25.11.2022', '22', '22 th round', 'TRI', 'Friday', 'Home', '1:2pp', '12', '25'), ('27.11.2022', '23', '23 th round', 'MBO', 'Sunday', 'Away', '4:6', '12', '25'), ('29.11.2022', '24', '24 th round', 'PLZ', 'Tuesday', 'Home', '2:4', '12', '25'), ('04.12.2022', '25', '26 th round', 'OLO', 'Sunday', 'Home', '5:3', '12', '28'), ('06.12.2022', '26', '25 th round', 'PAR', 'Tuesday', 'Away', '0:1', '12', '28'), ('09.12.2022', '27', '27 th round', 'VIT', 'Friday', 'Home', '5:3', '12', '31'), ('11.12.2022', '28', '28 th round', 'SPA', 'Sunday', 'Home', '5:2', '12', '34'), ('20.12.2022', '29', '29 th round', 'LIB', 'Tuesday', 'Home', '3:2sn', '11', '36'), ('22.12.2022', '30', '30 th round', 'BUD', 'Thursday', 'Away', '5:2', '11', '39'), ('26.12.2022', '31', '31 th round', 'KLA', 'Monday', 'Home', '2:3', '11', '39'), ('28.12.2022', '32', '32 th round', 'KVA', 'Wednesday', 'Away', '0:3', '11', '39'), ('30.12.2022', '33', '33 th round', 'HRK', 'Friday', 'Home', '2:3pp', '11', '40'), ('03.1.2023', '34', '34 th round', 'BRN', 'Tuesday', 'Away', '1:3', '12', '40'), ('06.1.2023', '35', '35 th round', 'TRI', 'Friday', 'Away', '2:3pp', '11', '41'), ('08.1.2023', '36', '36 th round', 'MBO', 'Sunday', 'Home', '4:3', '10', '44'), ('13.1.2023', '37', '37 th round', 'PLZ', 'Friday', 'Away', '1:4', '11', '44'), ('15.1.2023', '38', '38 th round', 'PAR', 'Sunday', 'Home', '1:2', '11', '44'), ('20.1.2023', '39', '39 th round', 'OLO', 'Friday', 'Away', '8:1', '10', '47'), ('22.1.2023', '40', '40 th round', 'VIT', 'Sunday', 'Away', '3:2sn', '11', '49'), ('25.1.2023', '41', '41 th round', 'SPA', 'Wednesday', 'Away', '2:3', '12', '49'), ('27.1.2023', '42', '42 th round', 'LIB', 'Friday', 'Away', '1:5', '13', '49'), ('29.1.2023', '43', '43 th round', 'BUD', 'Sunday', 'Home', '1:0sn', '12', '51'), ('03.2.2023', '44', '44 th round', 'KLA', 'Friday', 'Away', '2:5', '12', '51'), ('05.2.2023', '45', '45 th round', 'KVA', 'Sunday', 'Home', '1:2pp', '12', '52'), ('15.2.2023', '46', '46 th round', 'HRK', 'Wednesday', 'Away', '0:3', '12', '52'), ('17.2.2023', '47', '47 th round', 'BRN', 'Friday', 'Home', '3:2sn', '12', '54'), ('19.2.2023', '48', '48 th round', 'TRI', 'Sunday', 'Home', '4:3pp', '12', '56'), ('24.2.2023', '49', '49 th round', 'MBO', 'Friday', 'Away', '2:1', '12', '59'), ('26.2.2023', '50', '50 th round', 'PLZ', 'Sunday', 'Home', '2:1', '11', '62'), ('03.3.2023', '51', '51 th round', 'PAR', 'Friday', 'Away', '3:2sn', '12', '64'), ('05.3.2023', '52', '52 th round', 'OLO', 'Sunday', 'Home', '5:1', '11', '67'), ('08.3.2023', '53', 'Playoff 1st round ', 'TRI', 'Wednesday', 'Away', '1:3', '', ''), ('09.3.2023', '54', 'Playoff 1st round ', 'TRI', 'Thursday', 'Away', '4:5pp', '', ''), ('11.3.2023', '55', 'Playoff 1st round ', 'TRI', 'Saturday', 'Home', '2:4', '', ''), ('15.9.2023', '1', '1st round', 'PAR', 'Friday', 'Away', '1:5', '13', '0'), ('17.9.2023', '2', '2nd round', 'PLZ', 'Sunday', 'Home', '4:2', '10', '3'), ('22.9.2023', '3', '3rd round', 'BRN', 'Friday', 'Away', '3:2', '7', '6'), ('24.9.2023', '4', '4 th round', 'LIB', 'Sunday', 'Home', '4:1', '3', '9'), ('27.9.2023', '5', '5 th round', 'HRK', 'Wednesday', 'Away', '3:2sn', '3', '11'), ('29.9.2023', '6', '6 th round', 'MBO', 'Friday', 'Home', '5:2', '3', '14'), ('01.10.2023', '7', '7 th round', 'TRI', 'Sunday', 'Home', '6:4', '2', '17'), ('06.10.2023', '8', '8 th round', 'KVA', 'Friday', 'Away', '4:1', '2', '20'), ('08.10.2023', '9', '9 th round', 'BUD', 'Sunday', 'Home', '4:3', '2', '23'), ('13.10.2023', '10', '10 th round', 'SPA', 'Friday', 'Home', '4:2', '2', '26'), ('15.10.2023', '11', '11 th round', 'KLA', 'Sunday', 'Home', '5:4pp', '2', '28'), ('20.10.2023', '12', '12 th round', 'VIT', 'Friday', 'Home', '6:3', '2', '31'), ('22.10.2023', '13', '13 th round', 'OLO', 'Sunday', 'Away', '1:2', '2', '31'), ('27.10.2023', '14', '14 th round', 'PAR', 'Friday', 'Home', '4:1', '1', '34'), ('29.10.2023', '15', '15 th round', 'PLZ', 'Sunday', 'Away', '2:5', '2', '34'), ('31.10.2023', '16', '16 th round', 'BRN', 'Tuesday', 'Home', '6:3', '2', '37'), ('03.11.2023', '17', '17 th round', 'LIB', 'Friday', 'Away', '2:5', '2', '37'), ('05.11.2023', '18', '18 th round', 'HRK', 'Sunday', 'Home', '0:2', '2', '37'), ('17.11.2023', '19', '19 th round', 'MBO', 'Friday', 'Away', '0:5', '3', '37'), ('19.11.2023', '20', '20 th round', 'TRI', 'Sunday', 'Away', '3:2pp', '3', '39'), ('24.11.2023', '21', '21 th round', 'KVA', 'Friday', 'Home', '6:4', '3', '42'), ('26.11.2023', '22', '22 th round', 'BUD', 'Sunday', 'Away', '0:1', '4', '42'), ('28.11.2023', '23', '23 th round', 'SPA', 'Tuesday', 'Away', '1:3', '4', '42'), ('01.12.2023', '24', '24 th round', 'KLA', 'Friday', 'Away', '0:3', '4', '42'), ('03.12.2023', '25', '25 th round', 'VIT', 'Sunday', 'Away', '2:6', '4', '42'), ('08.12.2023', '26', '26 th round', 'OLO', 'Friday', 'Home', '1:2pp', '5', '43'), ('10.12.2023', '27', '27 th round', 'PAR', 'Sunday', 'Away', '4:2', '5', '46'), ('20.12.2023', '28', '28 th round', 'PLZ', 'Wednesday', 'Home', '2:3sn', '5', '47'), ('26.12.2023', '29', '30 th round', 'LIB', 'Tuesday', 'Home', '6:3', '4', '50'), ('28.12.2023', '30', '31 th round', 'HRK', 'Thursday', 'Away', '5:1', '4', '53'), ('30.12.2023', '31', '32 th round', 'MBO', 'Saturday', 'Home', '6:1', '4', '56'), ('03.1.2024', '32', '47 th round', 'KVA', 'Wednesday', 'Home', '1:6', '4', '56'), ('05.1.2024', '33', '33 th round', 'TRI', 'Friday', 'Home', '5:2', '4', '59'), ('07.1.2024', '34', '34 th round', 'KVA', 'Sunday', 'Away', '1:2pp', '4', '60'), ('12.1.2024', '35', '35 th round', 'BUD', 'Friday', 'Home', '4:3pp', '4', '62'), ('14.1.2024', '36', '36 th round', 'SPA', 'Sunday', 'Away', '3:6', '4', '62'), ('17.1.2024', '37', '29 th round', 'BRN', 'Wednesday', 'Away', '1:3', '4', '62'), ('19.1.2024', '38', '37 th round', 'KLA', 'Friday', 'Home', '4:3', '4', '65'), ('21.1.2024', '39', '38 th round', 'VIT', 'Sunday', 'Away', '1:5', '4', '65'), ('23.1.2024', '40', '39 th round', 'OLO', 'Tuesday', 'Home', '4:1', '4', '68'), ('26.1.2024', '41', '40 th round', 'PAR', 'Friday', 'Home', '1:3', '4', '68'), ('28.1.2024', '42', '41 th round', 'PLZ', 'Sunday', 'Away', '5:3', '4', '71'), ('02.2.2024', '43', '42 th round', 'BRN', 'Friday', 'Home', '2:3', '4', '71'), ('04.2.2024', '44', '43 th round', 'LIB', 'Sunday', 'Away', '2:6', '6', '71'), ('14.2.2024', '45', '44 th round', 'HRK', 'Wednesday', 'Home', '5:6pp', '6', '72'), ('16.2.2024', '46', '45 th round', 'MBO', 'Friday', 'Away', '3:2', '5', '75'), ('18.2.2024', '47', '46 th round', 'TRI', 'Sunday', 'Away', '2:5', '6', '75'), ('23.2.2024', '48', '48 th round', 'BUD', 'Friday', 'Away', '7:4', '4', '78'), ('25.2.2024', '49', '49 th round', 'SPA', 'Sunday', 'Home', '3:8', '5', '78'), ('27.2.2024', '50', '50 th round', 'KLA', 'Tuesday', 'Away', '0:2', '7', '78'), ('01.3.2024', '51', '51 th round', 'VIT', 'Friday', 'Home', '5:4', '6', '81'), ('03.3.2024', '52', '52 th round', 'OLO', 'Sunday', 'Away', '4:3sn', '5', '83'), ('06.3.2024', '53', 'Playoff 1st round  1', 'PLZ', 'Wednesday', 'Home', '4:2', '', ''), ('07.3.2024', '54', 'Playoff 1st round  2', 'PLZ', 'Thursday', 'Home', '4:1', '', ''), ('09.3.2024', '55', 'Playoff 1st round  3', 'PLZ', 'Saturday', 'Away', '2:1pp', '', ''), ('17.3.2024', '56', 'Quarter-finale  1', 'BRN', 'Sunday', 'Away', '2:1sn', '', ''), ('18.3.2024', '57', 'Quarter-finale  2', 'BRN', 'Monday', 'Away', '5:1', '', ''), ('21.3.2024', '58', 'Quarter-finale  3', 'BRN', 'Thursday', 'Home', '3:4', '', ''), ('22.3.2024', '59', 'Quarter-finale  4', 'BRN', 'Friday', 'Home', '1:5', '', '')</v>
      </c>
    </row>
    <row r="407" spans="1:23" x14ac:dyDescent="0.25">
      <c r="A407" s="2">
        <v>45375</v>
      </c>
      <c r="B407" s="1">
        <v>60</v>
      </c>
      <c r="C407" s="1" t="s">
        <v>90</v>
      </c>
      <c r="D407" s="1" t="s">
        <v>11</v>
      </c>
      <c r="E407" s="1" t="s">
        <v>57</v>
      </c>
      <c r="F407" s="1" t="s">
        <v>155</v>
      </c>
      <c r="G407" s="3" t="s">
        <v>15</v>
      </c>
      <c r="L407" t="s">
        <v>154</v>
      </c>
      <c r="M407" t="str">
        <f>CONCATENATE("(","'",TEXT(A407,"dd.m.rrrrr"),"'",L407,"'",B407,"'",L407,"'",C407,"'",L407,"'",D407,"'",L407,"'",E407,"'",L407,"'",F407,"'",L407,"'",G407,"'",L407,"'",H407,"'",L407,"'",I407,"'",")")</f>
        <v>('24.3.2024', '60', 'Quarter-finale  5', 'BRN', 'Sunday', 'Away', '2:1pp', '', '')</v>
      </c>
      <c r="W407" t="str">
        <f t="shared" si="6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'17'), ('04.11.2022', '18', '18 th round', 'KLA', 'Friday', 'Away', '2:3pp', '14', '18'), ('06.11.2022', '19', '19 th round', 'KVA', 'Sunday', 'Home', '5:3', '12', '21'), ('18.11.2022', '20', '20 th round', 'HRK', 'Friday', 'Away', '0:3', '13', '21'), ('20.11.2022', '21', '21 th round', 'BRN', 'Sunday', 'Home', '5:1', '11', '24'), ('25.11.2022', '22', '22 th round', 'TRI', 'Friday', 'Home', '1:2pp', '12', '25'), ('27.11.2022', '23', '23 th round', 'MBO', 'Sunday', 'Away', '4:6', '12', '25'), ('29.11.2022', '24', '24 th round', 'PLZ', 'Tuesday', 'Home', '2:4', '12', '25'), ('04.12.2022', '25', '26 th round', 'OLO', 'Sunday', 'Home', '5:3', '12', '28'), ('06.12.2022', '26', '25 th round', 'PAR', 'Tuesday', 'Away', '0:1', '12', '28'), ('09.12.2022', '27', '27 th round', 'VIT', 'Friday', 'Home', '5:3', '12', '31'), ('11.12.2022', '28', '28 th round', 'SPA', 'Sunday', 'Home', '5:2', '12', '34'), ('20.12.2022', '29', '29 th round', 'LIB', 'Tuesday', 'Home', '3:2sn', '11', '36'), ('22.12.2022', '30', '30 th round', 'BUD', 'Thursday', 'Away', '5:2', '11', '39'), ('26.12.2022', '31', '31 th round', 'KLA', 'Monday', 'Home', '2:3', '11', '39'), ('28.12.2022', '32', '32 th round', 'KVA', 'Wednesday', 'Away', '0:3', '11', '39'), ('30.12.2022', '33', '33 th round', 'HRK', 'Friday', 'Home', '2:3pp', '11', '40'), ('03.1.2023', '34', '34 th round', 'BRN', 'Tuesday', 'Away', '1:3', '12', '40'), ('06.1.2023', '35', '35 th round', 'TRI', 'Friday', 'Away', '2:3pp', '11', '41'), ('08.1.2023', '36', '36 th round', 'MBO', 'Sunday', 'Home', '4:3', '10', '44'), ('13.1.2023', '37', '37 th round', 'PLZ', 'Friday', 'Away', '1:4', '11', '44'), ('15.1.2023', '38', '38 th round', 'PAR', 'Sunday', 'Home', '1:2', '11', '44'), ('20.1.2023', '39', '39 th round', 'OLO', 'Friday', 'Away', '8:1', '10', '47'), ('22.1.2023', '40', '40 th round', 'VIT', 'Sunday', 'Away', '3:2sn', '11', '49'), ('25.1.2023', '41', '41 th round', 'SPA', 'Wednesday', 'Away', '2:3', '12', '49'), ('27.1.2023', '42', '42 th round', 'LIB', 'Friday', 'Away', '1:5', '13', '49'), ('29.1.2023', '43', '43 th round', 'BUD', 'Sunday', 'Home', '1:0sn', '12', '51'), ('03.2.2023', '44', '44 th round', 'KLA', 'Friday', 'Away', '2:5', '12', '51'), ('05.2.2023', '45', '45 th round', 'KVA', 'Sunday', 'Home', '1:2pp', '12', '52'), ('15.2.2023', '46', '46 th round', 'HRK', 'Wednesday', 'Away', '0:3', '12', '52'), ('17.2.2023', '47', '47 th round', 'BRN', 'Friday', 'Home', '3:2sn', '12', '54'), ('19.2.2023', '48', '48 th round', 'TRI', 'Sunday', 'Home', '4:3pp', '12', '56'), ('24.2.2023', '49', '49 th round', 'MBO', 'Friday', 'Away', '2:1', '12', '59'), ('26.2.2023', '50', '50 th round', 'PLZ', 'Sunday', 'Home', '2:1', '11', '62'), ('03.3.2023', '51', '51 th round', 'PAR', 'Friday', 'Away', '3:2sn', '12', '64'), ('05.3.2023', '52', '52 th round', 'OLO', 'Sunday', 'Home', '5:1', '11', '67'), ('08.3.2023', '53', 'Playoff 1st round ', 'TRI', 'Wednesday', 'Away', '1:3', '', ''), ('09.3.2023', '54', 'Playoff 1st round ', 'TRI', 'Thursday', 'Away', '4:5pp', '', ''), ('11.3.2023', '55', 'Playoff 1st round ', 'TRI', 'Saturday', 'Home', '2:4', '', ''), ('15.9.2023', '1', '1st round', 'PAR', 'Friday', 'Away', '1:5', '13', '0'), ('17.9.2023', '2', '2nd round', 'PLZ', 'Sunday', 'Home', '4:2', '10', '3'), ('22.9.2023', '3', '3rd round', 'BRN', 'Friday', 'Away', '3:2', '7', '6'), ('24.9.2023', '4', '4 th round', 'LIB', 'Sunday', 'Home', '4:1', '3', '9'), ('27.9.2023', '5', '5 th round', 'HRK', 'Wednesday', 'Away', '3:2sn', '3', '11'), ('29.9.2023', '6', '6 th round', 'MBO', 'Friday', 'Home', '5:2', '3', '14'), ('01.10.2023', '7', '7 th round', 'TRI', 'Sunday', 'Home', '6:4', '2', '17'), ('06.10.2023', '8', '8 th round', 'KVA', 'Friday', 'Away', '4:1', '2', '20'), ('08.10.2023', '9', '9 th round', 'BUD', 'Sunday', 'Home', '4:3', '2', '23'), ('13.10.2023', '10', '10 th round', 'SPA', 'Friday', 'Home', '4:2', '2', '26'), ('15.10.2023', '11', '11 th round', 'KLA', 'Sunday', 'Home', '5:4pp', '2', '28'), ('20.10.2023', '12', '12 th round', 'VIT', 'Friday', 'Home', '6:3', '2', '31'), ('22.10.2023', '13', '13 th round', 'OLO', 'Sunday', 'Away', '1:2', '2', '31'), ('27.10.2023', '14', '14 th round', 'PAR', 'Friday', 'Home', '4:1', '1', '34'), ('29.10.2023', '15', '15 th round', 'PLZ', 'Sunday', 'Away', '2:5', '2', '34'), ('31.10.2023', '16', '16 th round', 'BRN', 'Tuesday', 'Home', '6:3', '2', '37'), ('03.11.2023', '17', '17 th round', 'LIB', 'Friday', 'Away', '2:5', '2', '37'), ('05.11.2023', '18', '18 th round', 'HRK', 'Sunday', 'Home', '0:2', '2', '37'), ('17.11.2023', '19', '19 th round', 'MBO', 'Friday', 'Away', '0:5', '3', '37'), ('19.11.2023', '20', '20 th round', 'TRI', 'Sunday', 'Away', '3:2pp', '3', '39'), ('24.11.2023', '21', '21 th round', 'KVA', 'Friday', 'Home', '6:4', '3', '42'), ('26.11.2023', '22', '22 th round', 'BUD', 'Sunday', 'Away', '0:1', '4', '42'), ('28.11.2023', '23', '23 th round', 'SPA', 'Tuesday', 'Away', '1:3', '4', '42'), ('01.12.2023', '24', '24 th round', 'KLA', 'Friday', 'Away', '0:3', '4', '42'), ('03.12.2023', '25', '25 th round', 'VIT', 'Sunday', 'Away', '2:6', '4', '42'), ('08.12.2023', '26', '26 th round', 'OLO', 'Friday', 'Home', '1:2pp', '5', '43'), ('10.12.2023', '27', '27 th round', 'PAR', 'Sunday', 'Away', '4:2', '5', '46'), ('20.12.2023', '28', '28 th round', 'PLZ', 'Wednesday', 'Home', '2:3sn', '5', '47'), ('26.12.2023', '29', '30 th round', 'LIB', 'Tuesday', 'Home', '6:3', '4', '50'), ('28.12.2023', '30', '31 th round', 'HRK', 'Thursday', 'Away', '5:1', '4', '53'), ('30.12.2023', '31', '32 th round', 'MBO', 'Saturday', 'Home', '6:1', '4', '56'), ('03.1.2024', '32', '47 th round', 'KVA', 'Wednesday', 'Home', '1:6', '4', '56'), ('05.1.2024', '33', '33 th round', 'TRI', 'Friday', 'Home', '5:2', '4', '59'), ('07.1.2024', '34', '34 th round', 'KVA', 'Sunday', 'Away', '1:2pp', '4', '60'), ('12.1.2024', '35', '35 th round', 'BUD', 'Friday', 'Home', '4:3pp', '4', '62'), ('14.1.2024', '36', '36 th round', 'SPA', 'Sunday', 'Away', '3:6', '4', '62'), ('17.1.2024', '37', '29 th round', 'BRN', 'Wednesday', 'Away', '1:3', '4', '62'), ('19.1.2024', '38', '37 th round', 'KLA', 'Friday', 'Home', '4:3', '4', '65'), ('21.1.2024', '39', '38 th round', 'VIT', 'Sunday', 'Away', '1:5', '4', '65'), ('23.1.2024', '40', '39 th round', 'OLO', 'Tuesday', 'Home', '4:1', '4', '68'), ('26.1.2024', '41', '40 th round', 'PAR', 'Friday', 'Home', '1:3', '4', '68'), ('28.1.2024', '42', '41 th round', 'PLZ', 'Sunday', 'Away', '5:3', '4', '71'), ('02.2.2024', '43', '42 th round', 'BRN', 'Friday', 'Home', '2:3', '4', '71'), ('04.2.2024', '44', '43 th round', 'LIB', 'Sunday', 'Away', '2:6', '6', '71'), ('14.2.2024', '45', '44 th round', 'HRK', 'Wednesday', 'Home', '5:6pp', '6', '72'), ('16.2.2024', '46', '45 th round', 'MBO', 'Friday', 'Away', '3:2', '5', '75'), ('18.2.2024', '47', '46 th round', 'TRI', 'Sunday', 'Away', '2:5', '6', '75'), ('23.2.2024', '48', '48 th round', 'BUD', 'Friday', 'Away', '7:4', '4', '78'), ('25.2.2024', '49', '49 th round', 'SPA', 'Sunday', 'Home', '3:8', '5', '78'), ('27.2.2024', '50', '50 th round', 'KLA', 'Tuesday', 'Away', '0:2', '7', '78'), ('01.3.2024', '51', '51 th round', 'VIT', 'Friday', 'Home', '5:4', '6', '81'), ('03.3.2024', '52', '52 th round', 'OLO', 'Sunday', 'Away', '4:3sn', '5', '83'), ('06.3.2024', '53', 'Playoff 1st round  1', 'PLZ', 'Wednesday', 'Home', '4:2', '', ''), ('07.3.2024', '54', 'Playoff 1st round  2', 'PLZ', 'Thursday', 'Home', '4:1', '', ''), ('09.3.2024', '55', 'Playoff 1st round  3', 'PLZ', 'Saturday', 'Away', '2:1pp', '', ''), ('17.3.2024', '56', 'Quarter-finale  1', 'BRN', 'Sunday', 'Away', '2:1sn', '', ''), ('18.3.2024', '57', 'Quarter-finale  2', 'BRN', 'Monday', 'Away', '5:1', '', ''), ('21.3.2024', '58', 'Quarter-finale  3', 'BRN', 'Thursday', 'Home', '3:4', '', ''), ('22.3.2024', '59', 'Quarter-finale  4', 'BRN', 'Friday', 'Home', '1:5', '', ''), ('24.3.2024', '60', 'Quarter-finale  5', 'BRN', 'Sunday', 'Away', '2:1pp', '', '')</v>
      </c>
    </row>
    <row r="408" spans="1:23" x14ac:dyDescent="0.25">
      <c r="A408" s="2">
        <v>45377</v>
      </c>
      <c r="B408" s="1">
        <v>61</v>
      </c>
      <c r="C408" s="1" t="s">
        <v>91</v>
      </c>
      <c r="D408" s="1" t="s">
        <v>11</v>
      </c>
      <c r="E408" s="1" t="s">
        <v>59</v>
      </c>
      <c r="F408" s="1" t="s">
        <v>157</v>
      </c>
      <c r="G408" s="11" t="s">
        <v>187</v>
      </c>
      <c r="L408" t="s">
        <v>154</v>
      </c>
      <c r="M408" t="str">
        <f>CONCATENATE("(","'",TEXT(A408,"dd.m.rrrrr"),"'",L408,"'",B408,"'",L408,"'",C408,"'",L408,"'",D408,"'",L408,"'",E408,"'",L408,"'",F408,"'",L408,"'",G408,"'",L408,"'",H408,"'",L408,"'",I408,"'",")")</f>
        <v>('26.3.2024', '61', 'Quarter-finale  6', 'BRN', 'Tuesday', 'Home', '4:1', '', '')</v>
      </c>
      <c r="W408" t="str">
        <f t="shared" si="6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'17'), ('04.11.2022', '18', '18 th round', 'KLA', 'Friday', 'Away', '2:3pp', '14', '18'), ('06.11.2022', '19', '19 th round', 'KVA', 'Sunday', 'Home', '5:3', '12', '21'), ('18.11.2022', '20', '20 th round', 'HRK', 'Friday', 'Away', '0:3', '13', '21'), ('20.11.2022', '21', '21 th round', 'BRN', 'Sunday', 'Home', '5:1', '11', '24'), ('25.11.2022', '22', '22 th round', 'TRI', 'Friday', 'Home', '1:2pp', '12', '25'), ('27.11.2022', '23', '23 th round', 'MBO', 'Sunday', 'Away', '4:6', '12', '25'), ('29.11.2022', '24', '24 th round', 'PLZ', 'Tuesday', 'Home', '2:4', '12', '25'), ('04.12.2022', '25', '26 th round', 'OLO', 'Sunday', 'Home', '5:3', '12', '28'), ('06.12.2022', '26', '25 th round', 'PAR', 'Tuesday', 'Away', '0:1', '12', '28'), ('09.12.2022', '27', '27 th round', 'VIT', 'Friday', 'Home', '5:3', '12', '31'), ('11.12.2022', '28', '28 th round', 'SPA', 'Sunday', 'Home', '5:2', '12', '34'), ('20.12.2022', '29', '29 th round', 'LIB', 'Tuesday', 'Home', '3:2sn', '11', '36'), ('22.12.2022', '30', '30 th round', 'BUD', 'Thursday', 'Away', '5:2', '11', '39'), ('26.12.2022', '31', '31 th round', 'KLA', 'Monday', 'Home', '2:3', '11', '39'), ('28.12.2022', '32', '32 th round', 'KVA', 'Wednesday', 'Away', '0:3', '11', '39'), ('30.12.2022', '33', '33 th round', 'HRK', 'Friday', 'Home', '2:3pp', '11', '40'), ('03.1.2023', '34', '34 th round', 'BRN', 'Tuesday', 'Away', '1:3', '12', '40'), ('06.1.2023', '35', '35 th round', 'TRI', 'Friday', 'Away', '2:3pp', '11', '41'), ('08.1.2023', '36', '36 th round', 'MBO', 'Sunday', 'Home', '4:3', '10', '44'), ('13.1.2023', '37', '37 th round', 'PLZ', 'Friday', 'Away', '1:4', '11', '44'), ('15.1.2023', '38', '38 th round', 'PAR', 'Sunday', 'Home', '1:2', '11', '44'), ('20.1.2023', '39', '39 th round', 'OLO', 'Friday', 'Away', '8:1', '10', '47'), ('22.1.2023', '40', '40 th round', 'VIT', 'Sunday', 'Away', '3:2sn', '11', '49'), ('25.1.2023', '41', '41 th round', 'SPA', 'Wednesday', 'Away', '2:3', '12', '49'), ('27.1.2023', '42', '42 th round', 'LIB', 'Friday', 'Away', '1:5', '13', '49'), ('29.1.2023', '43', '43 th round', 'BUD', 'Sunday', 'Home', '1:0sn', '12', '51'), ('03.2.2023', '44', '44 th round', 'KLA', 'Friday', 'Away', '2:5', '12', '51'), ('05.2.2023', '45', '45 th round', 'KVA', 'Sunday', 'Home', '1:2pp', '12', '52'), ('15.2.2023', '46', '46 th round', 'HRK', 'Wednesday', 'Away', '0:3', '12', '52'), ('17.2.2023', '47', '47 th round', 'BRN', 'Friday', 'Home', '3:2sn', '12', '54'), ('19.2.2023', '48', '48 th round', 'TRI', 'Sunday', 'Home', '4:3pp', '12', '56'), ('24.2.2023', '49', '49 th round', 'MBO', 'Friday', 'Away', '2:1', '12', '59'), ('26.2.2023', '50', '50 th round', 'PLZ', 'Sunday', 'Home', '2:1', '11', '62'), ('03.3.2023', '51', '51 th round', 'PAR', 'Friday', 'Away', '3:2sn', '12', '64'), ('05.3.2023', '52', '52 th round', 'OLO', 'Sunday', 'Home', '5:1', '11', '67'), ('08.3.2023', '53', 'Playoff 1st round ', 'TRI', 'Wednesday', 'Away', '1:3', '', ''), ('09.3.2023', '54', 'Playoff 1st round ', 'TRI', 'Thursday', 'Away', '4:5pp', '', ''), ('11.3.2023', '55', 'Playoff 1st round ', 'TRI', 'Saturday', 'Home', '2:4', '', ''), ('15.9.2023', '1', '1st round', 'PAR', 'Friday', 'Away', '1:5', '13', '0'), ('17.9.2023', '2', '2nd round', 'PLZ', 'Sunday', 'Home', '4:2', '10', '3'), ('22.9.2023', '3', '3rd round', 'BRN', 'Friday', 'Away', '3:2', '7', '6'), ('24.9.2023', '4', '4 th round', 'LIB', 'Sunday', 'Home', '4:1', '3', '9'), ('27.9.2023', '5', '5 th round', 'HRK', 'Wednesday', 'Away', '3:2sn', '3', '11'), ('29.9.2023', '6', '6 th round', 'MBO', 'Friday', 'Home', '5:2', '3', '14'), ('01.10.2023', '7', '7 th round', 'TRI', 'Sunday', 'Home', '6:4', '2', '17'), ('06.10.2023', '8', '8 th round', 'KVA', 'Friday', 'Away', '4:1', '2', '20'), ('08.10.2023', '9', '9 th round', 'BUD', 'Sunday', 'Home', '4:3', '2', '23'), ('13.10.2023', '10', '10 th round', 'SPA', 'Friday', 'Home', '4:2', '2', '26'), ('15.10.2023', '11', '11 th round', 'KLA', 'Sunday', 'Home', '5:4pp', '2', '28'), ('20.10.2023', '12', '12 th round', 'VIT', 'Friday', 'Home', '6:3', '2', '31'), ('22.10.2023', '13', '13 th round', 'OLO', 'Sunday', 'Away', '1:2', '2', '31'), ('27.10.2023', '14', '14 th round', 'PAR', 'Friday', 'Home', '4:1', '1', '34'), ('29.10.2023', '15', '15 th round', 'PLZ', 'Sunday', 'Away', '2:5', '2', '34'), ('31.10.2023', '16', '16 th round', 'BRN', 'Tuesday', 'Home', '6:3', '2', '37'), ('03.11.2023', '17', '17 th round', 'LIB', 'Friday', 'Away', '2:5', '2', '37'), ('05.11.2023', '18', '18 th round', 'HRK', 'Sunday', 'Home', '0:2', '2', '37'), ('17.11.2023', '19', '19 th round', 'MBO', 'Friday', 'Away', '0:5', '3', '37'), ('19.11.2023', '20', '20 th round', 'TRI', 'Sunday', 'Away', '3:2pp', '3', '39'), ('24.11.2023', '21', '21 th round', 'KVA', 'Friday', 'Home', '6:4', '3', '42'), ('26.11.2023', '22', '22 th round', 'BUD', 'Sunday', 'Away', '0:1', '4', '42'), ('28.11.2023', '23', '23 th round', 'SPA', 'Tuesday', 'Away', '1:3', '4', '42'), ('01.12.2023', '24', '24 th round', 'KLA', 'Friday', 'Away', '0:3', '4', '42'), ('03.12.2023', '25', '25 th round', 'VIT', 'Sunday', 'Away', '2:6', '4', '42'), ('08.12.2023', '26', '26 th round', 'OLO', 'Friday', 'Home', '1:2pp', '5', '43'), ('10.12.2023', '27', '27 th round', 'PAR', 'Sunday', 'Away', '4:2', '5', '46'), ('20.12.2023', '28', '28 th round', 'PLZ', 'Wednesday', 'Home', '2:3sn', '5', '47'), ('26.12.2023', '29', '30 th round', 'LIB', 'Tuesday', 'Home', '6:3', '4', '50'), ('28.12.2023', '30', '31 th round', 'HRK', 'Thursday', 'Away', '5:1', '4', '53'), ('30.12.2023', '31', '32 th round', 'MBO', 'Saturday', 'Home', '6:1', '4', '56'), ('03.1.2024', '32', '47 th round', 'KVA', 'Wednesday', 'Home', '1:6', '4', '56'), ('05.1.2024', '33', '33 th round', 'TRI', 'Friday', 'Home', '5:2', '4', '59'), ('07.1.2024', '34', '34 th round', 'KVA', 'Sunday', 'Away', '1:2pp', '4', '60'), ('12.1.2024', '35', '35 th round', 'BUD', 'Friday', 'Home', '4:3pp', '4', '62'), ('14.1.2024', '36', '36 th round', 'SPA', 'Sunday', 'Away', '3:6', '4', '62'), ('17.1.2024', '37', '29 th round', 'BRN', 'Wednesday', 'Away', '1:3', '4', '62'), ('19.1.2024', '38', '37 th round', 'KLA', 'Friday', 'Home', '4:3', '4', '65'), ('21.1.2024', '39', '38 th round', 'VIT', 'Sunday', 'Away', '1:5', '4', '65'), ('23.1.2024', '40', '39 th round', 'OLO', 'Tuesday', 'Home', '4:1', '4', '68'), ('26.1.2024', '41', '40 th round', 'PAR', 'Friday', 'Home', '1:3', '4', '68'), ('28.1.2024', '42', '41 th round', 'PLZ', 'Sunday', 'Away', '5:3', '4', '71'), ('02.2.2024', '43', '42 th round', 'BRN', 'Friday', 'Home', '2:3', '4', '71'), ('04.2.2024', '44', '43 th round', 'LIB', 'Sunday', 'Away', '2:6', '6', '71'), ('14.2.2024', '45', '44 th round', 'HRK', 'Wednesday', 'Home', '5:6pp', '6', '72'), ('16.2.2024', '46', '45 th round', 'MBO', 'Friday', 'Away', '3:2', '5', '75'), ('18.2.2024', '47', '46 th round', 'TRI', 'Sunday', 'Away', '2:5', '6', '75'), ('23.2.2024', '48', '48 th round', 'BUD', 'Friday', 'Away', '7:4', '4', '78'), ('25.2.2024', '49', '49 th round', 'SPA', 'Sunday', 'Home', '3:8', '5', '78'), ('27.2.2024', '50', '50 th round', 'KLA', 'Tuesday', 'Away', '0:2', '7', '78'), ('01.3.2024', '51', '51 th round', 'VIT', 'Friday', 'Home', '5:4', '6', '81'), ('03.3.2024', '52', '52 th round', 'OLO', 'Sunday', 'Away', '4:3sn', '5', '83'), ('06.3.2024', '53', 'Playoff 1st round  1', 'PLZ', 'Wednesday', 'Home', '4:2', '', ''), ('07.3.2024', '54', 'Playoff 1st round  2', 'PLZ', 'Thursday', 'Home', '4:1', '', ''), ('09.3.2024', '55', 'Playoff 1st round  3', 'PLZ', 'Saturday', 'Away', '2:1pp', '', ''), ('17.3.2024', '56', 'Quarter-finale  1', 'BRN', 'Sunday', 'Away', '2:1sn', '', ''), ('18.3.2024', '57', 'Quarter-finale  2', 'BRN', 'Monday', 'Away', '5:1', '', ''), ('21.3.2024', '58', 'Quarter-finale  3', 'BRN', 'Thursday', 'Home', '3:4', '', ''), ('22.3.2024', '59', 'Quarter-finale  4', 'BRN', 'Friday', 'Home', '1:5', '', ''), ('24.3.2024', '60', 'Quarter-finale  5', 'BRN', 'Sunday', 'Away', '2:1pp', '', ''), ('26.3.2024', '61</v>
      </c>
    </row>
    <row r="409" spans="1:23" x14ac:dyDescent="0.25">
      <c r="A409" s="2">
        <v>45382</v>
      </c>
      <c r="B409" s="1">
        <v>62</v>
      </c>
      <c r="C409" s="1" t="s">
        <v>149</v>
      </c>
      <c r="D409" s="1" t="s">
        <v>9</v>
      </c>
      <c r="E409" s="1" t="s">
        <v>57</v>
      </c>
      <c r="F409" s="1" t="s">
        <v>155</v>
      </c>
      <c r="G409" s="11" t="s">
        <v>167</v>
      </c>
      <c r="L409" t="s">
        <v>154</v>
      </c>
      <c r="M409" t="str">
        <f>CONCATENATE("(","'",TEXT(A409,"dd.m.rrrrr"),"'",L409,"'",B409,"'",L409,"'",C409,"'",L409,"'",D409,"'",L409,"'",E409,"'",L409,"'",F409,"'",L409,"'",G409,"'",L409,"'",H409,"'",L409,"'",I409,"'",")")</f>
        <v>('31.3.2024', '62', 'Semi-final  1', 'PAR', 'Sunday', 'Away', '1:2', '', '')</v>
      </c>
      <c r="W409" t="str">
        <f t="shared" si="6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'17'), ('04.11.2022', '18', '18 th round', 'KLA', 'Friday', 'Away', '2:3pp', '14', '18'), ('06.11.2022', '19', '19 th round', 'KVA', 'Sunday', 'Home', '5:3', '12', '21'), ('18.11.2022', '20', '20 th round', 'HRK', 'Friday', 'Away', '0:3', '13', '21'), ('20.11.2022', '21', '21 th round', 'BRN', 'Sunday', 'Home', '5:1', '11', '24'), ('25.11.2022', '22', '22 th round', 'TRI', 'Friday', 'Home', '1:2pp', '12', '25'), ('27.11.2022', '23', '23 th round', 'MBO', 'Sunday', 'Away', '4:6', '12', '25'), ('29.11.2022', '24', '24 th round', 'PLZ', 'Tuesday', 'Home', '2:4', '12', '25'), ('04.12.2022', '25', '26 th round', 'OLO', 'Sunday', 'Home', '5:3', '12', '28'), ('06.12.2022', '26', '25 th round', 'PAR', 'Tuesday', 'Away', '0:1', '12', '28'), ('09.12.2022', '27', '27 th round', 'VIT', 'Friday', 'Home', '5:3', '12', '31'), ('11.12.2022', '28', '28 th round', 'SPA', 'Sunday', 'Home', '5:2', '12', '34'), ('20.12.2022', '29', '29 th round', 'LIB', 'Tuesday', 'Home', '3:2sn', '11', '36'), ('22.12.2022', '30', '30 th round', 'BUD', 'Thursday', 'Away', '5:2', '11', '39'), ('26.12.2022', '31', '31 th round', 'KLA', 'Monday', 'Home', '2:3', '11', '39'), ('28.12.2022', '32', '32 th round', 'KVA', 'Wednesday', 'Away', '0:3', '11', '39'), ('30.12.2022', '33', '33 th round', 'HRK', 'Friday', 'Home', '2:3pp', '11', '40'), ('03.1.2023', '34', '34 th round', 'BRN', 'Tuesday', 'Away', '1:3', '12', '40'), ('06.1.2023', '35', '35 th round', 'TRI', 'Friday', 'Away', '2:3pp', '11', '41'), ('08.1.2023', '36', '36 th round', 'MBO', 'Sunday', 'Home', '4:3', '10', '44'), ('13.1.2023', '37', '37 th round', 'PLZ', 'Friday', 'Away', '1:4', '11', '44'), ('15.1.2023', '38', '38 th round', 'PAR', 'Sunday', 'Home', '1:2', '11', '44'), ('20.1.2023', '39', '39 th round', 'OLO', 'Friday', 'Away', '8:1', '10', '47'), ('22.1.2023', '40', '40 th round', 'VIT', 'Sunday', 'Away', '3:2sn', '11', '49'), ('25.1.2023', '41', '41 th round', 'SPA', 'Wednesday', 'Away', '2:3', '12', '49'), ('27.1.2023', '42', '42 th round', 'LIB', 'Friday', 'Away', '1:5', '13', '49'), ('29.1.2023', '43', '43 th round', 'BUD', 'Sunday', 'Home', '1:0sn', '12', '51'), ('03.2.2023', '44', '44 th round', 'KLA', 'Friday', 'Away', '2:5', '12', '51'), ('05.2.2023', '45', '45 th round', 'KVA', 'Sunday', 'Home', '1:2pp', '12', '52'), ('15.2.2023', '46', '46 th round', 'HRK', 'Wednesday', 'Away', '0:3', '12', '52'), ('17.2.2023', '47', '47 th round', 'BRN', 'Friday', 'Home', '3:2sn', '12', '54'), ('19.2.2023', '48', '48 th round', 'TRI', 'Sunday', 'Home', '4:3pp', '12', '56'), ('24.2.2023', '49', '49 th round', 'MBO', 'Friday', 'Away', '2:1', '12', '59'), ('26.2.2023', '50', '50 th round', 'PLZ', 'Sunday', 'Home', '2:1', '11', '62'), ('03.3.2023', '51', '51 th round', 'PAR', 'Friday', 'Away', '3:2sn', '12', '64'), ('05.3.2023', '52', '52 th round', 'OLO', 'Sunday', 'Home', '5:1', '11', '67'), ('08.3.2023', '53', 'Playoff 1st round ', 'TRI', 'Wednesday', 'Away', '1:3', '', ''), ('09.3.2023', '54', 'Playoff 1st round ', 'TRI', 'Thursday', 'Away', '4:5pp', '', ''), ('11.3.2023', '55', 'Playoff 1st round ', 'TRI', 'Saturday', 'Home', '2:4', '', ''), ('15.9.2023', '1', '1st round', 'PAR', 'Friday', 'Away', '1:5', '13', '0'), ('17.9.2023', '2', '2nd round', 'PLZ', 'Sunday', 'Home', '4:2', '10', '3'), ('22.9.2023', '3', '3rd round', 'BRN', 'Friday', 'Away', '3:2', '7', '6'), ('24.9.2023', '4', '4 th round', 'LIB', 'Sunday', 'Home', '4:1', '3', '9'), ('27.9.2023', '5', '5 th round', 'HRK', 'Wednesday', 'Away', '3:2sn', '3', '11'), ('29.9.2023', '6', '6 th round', 'MBO', 'Friday', 'Home', '5:2', '3', '14'), ('01.10.2023', '7', '7 th round', 'TRI', 'Sunday', 'Home', '6:4', '2', '17'), ('06.10.2023', '8', '8 th round', 'KVA', 'Friday', 'Away', '4:1', '2', '20'), ('08.10.2023', '9', '9 th round', 'BUD', 'Sunday', 'Home', '4:3', '2', '23'), ('13.10.2023', '10', '10 th round', 'SPA', 'Friday', 'Home', '4:2', '2', '26'), ('15.10.2023', '11', '11 th round', 'KLA', 'Sunday', 'Home', '5:4pp', '2', '28'), ('20.10.2023', '12', '12 th round', 'VIT', 'Friday', 'Home', '6:3', '2', '31'), ('22.10.2023', '13', '13 th round', 'OLO', 'Sunday', 'Away', '1:2', '2', '31'), ('27.10.2023', '14', '14 th round', 'PAR', 'Friday', 'Home', '4:1', '1', '34'), ('29.10.2023', '15', '15 th round', 'PLZ', 'Sunday', 'Away', '2:5', '2', '34'), ('31.10.2023', '16', '16 th round', 'BRN', 'Tuesday', 'Home', '6:3', '2', '37'), ('03.11.2023', '17', '17 th round', 'LIB', 'Friday', 'Away', '2:5', '2', '37'), ('05.11.2023', '18', '18 th round', 'HRK', 'Sunday', 'Home', '0:2', '2', '37'), ('17.11.2023', '19', '19 th round', 'MBO', 'Friday', 'Away', '0:5', '3', '37'), ('19.11.2023', '20', '20 th round', 'TRI', 'Sunday', 'Away', '3:2pp', '3', '39'), ('24.11.2023', '21', '21 th round', 'KVA', 'Friday', 'Home', '6:4', '3', '42'), ('26.11.2023', '22', '22 th round', 'BUD', 'Sunday', 'Away', '0:1', '4', '42'), ('28.11.2023', '23', '23 th round', 'SPA', 'Tuesday', 'Away', '1:3', '4', '42'), ('01.12.2023', '24', '24 th round', 'KLA', 'Friday', 'Away', '0:3', '4', '42'), ('03.12.2023', '25', '25 th round', 'VIT', 'Sunday', 'Away', '2:6', '4', '42'), ('08.12.2023', '26', '26 th round', 'OLO', 'Friday', 'Home', '1:2pp', '5', '43'), ('10.12.2023', '27', '27 th round', 'PAR', 'Sunday', 'Away', '4:2', '5', '46'), ('20.12.2023', '28', '28 th round', 'PLZ', 'Wednesday', 'Home', '2:3sn', '5', '47'), ('26.12.2023', '29', '30 th round', 'LIB', 'Tuesday', 'Home', '6:3', '4', '50'), ('28.12.2023', '30', '31 th round', 'HRK', 'Thursday', 'Away', '5:1', '4', '53'), ('30.12.2023', '31', '32 th round', 'MBO', 'Saturday', 'Home', '6:1', '4', '56'), ('03.1.2024', '32', '47 th round', 'KVA', 'Wednesday', 'Home', '1:6', '4', '56'), ('05.1.2024', '33', '33 th round', 'TRI', 'Friday', 'Home', '5:2', '4', '59'), ('07.1.2024', '34', '34 th round', 'KVA', 'Sunday', 'Away', '1:2pp', '4', '60'), ('12.1.2024', '35', '35 th round', 'BUD', 'Friday', 'Home', '4:3pp', '4', '62'), ('14.1.2024', '36', '36 th round', 'SPA', 'Sunday', 'Away', '3:6', '4', '62'), ('17.1.2024', '37', '29 th round', 'BRN', 'Wednesday', 'Away', '1:3', '4', '62'), ('19.1.2024', '38', '37 th round', 'KLA', 'Friday', 'Home', '4:3', '4', '65'), ('21.1.2024', '39', '38 th round', 'VIT', 'Sunday', 'Away', '1:5', '4', '65'), ('23.1.2024', '40', '39 th round', 'OLO', 'Tuesday', 'Home', '4:1', '4', '68'), ('26.1.2024', '41', '40 th round', 'PAR', 'Friday', 'Home', '1:3', '4', '68'), ('28.1.2024', '42', '41 th round', 'PLZ', 'Sunday', 'Away', '5:3', '4', '71'), ('02.2.2024', '43', '42 th round', 'BRN', 'Friday', 'Home', '2:3', '4', '71'), ('04.2.2024', '44', '43 th round', 'LIB', 'Sunday', 'Away', '2:6', '6', '71'), ('14.2.2024', '45', '44 th round', 'HRK', 'Wednesday', 'Home', '5:6pp', '6', '72'), ('16.2.2024', '46', '45 th round', 'MBO', 'Friday', 'Away', '3:2', '5', '75'), ('18.2.2024', '47', '46 th round', 'TRI', 'Sunday', 'Away', '2:5', '6', '75'), ('23.2.2024', '48', '48 th round', 'BUD', 'Friday', 'Away', '7:4', '4', '78'), ('25.2.2024', '49', '49 th round', 'SPA', 'Sunday', 'Home', '3:8', '5', '78'), ('27.2.2024', '50', '50 th round', 'KLA', 'Tuesday', 'Away', '0:2', '7', '78'), ('01.3.2024', '51', '51 th round', 'VIT', 'Friday', 'Home', '5:4', '6', '81'), ('03.3.2024', '52', '52 th round', 'OLO', 'Sunday', 'Away', '4:3sn', '5', '83'), ('06.3.2024', '53', 'Playoff 1st round  1', 'PLZ', 'Wednesday', 'Home', '4:2', '', ''), ('07.3.2024', '54', 'Playoff 1st round  2', 'PLZ', 'Thursday', 'Home', '4:1', '', ''), ('09.3.2024', '55', 'Playoff 1st round  3', 'PLZ', 'Saturday', 'Away', '2:1pp', '', ''), ('17.3.2024', '56', 'Quarter-finale  1', 'BRN', 'Sunday', 'Away', '2:1sn', '', ''), ('18.3.2024', '57', 'Quarter-finale  2', 'BRN', 'Monday', 'Away', '5:1', '', ''), ('21.3.2024', '58', 'Quarter-finale  3', 'BRN', 'Thursday', 'Home', '3:4', '', ''), ('22.3.2024', '59', 'Quarter-finale  4', 'BRN', 'Friday', 'Home', '1:5', '', ''), ('24.3.2024', '60', 'Quarter-finale  5', 'BRN', 'Sunday', 'Away', '2:1pp', '', ''), ('26.3.2024', '61</v>
      </c>
    </row>
    <row r="410" spans="1:23" x14ac:dyDescent="0.25">
      <c r="A410" s="2">
        <v>45383</v>
      </c>
      <c r="B410" s="1">
        <v>63</v>
      </c>
      <c r="C410" s="1" t="s">
        <v>150</v>
      </c>
      <c r="D410" s="1" t="s">
        <v>9</v>
      </c>
      <c r="E410" s="1" t="s">
        <v>58</v>
      </c>
      <c r="F410" s="1" t="s">
        <v>155</v>
      </c>
      <c r="G410" s="11" t="s">
        <v>163</v>
      </c>
      <c r="L410" t="s">
        <v>154</v>
      </c>
      <c r="M410" t="str">
        <f>CONCATENATE("(","'",TEXT(A410,"dd.m.rrrrr"),"'",L410,"'",B410,"'",L410,"'",C410,"'",L410,"'",D410,"'",L410,"'",E410,"'",L410,"'",F410,"'",L410,"'",G410,"'",L410,"'",H410,"'",L410,"'",I410,"'",")")</f>
        <v>('01.4.2024', '63', 'Semi-final 2', 'PAR', 'Monday', 'Away', '0:3', '', '')</v>
      </c>
      <c r="W410" t="str">
        <f t="shared" si="6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'17'), ('04.11.2022', '18', '18 th round', 'KLA', 'Friday', 'Away', '2:3pp', '14', '18'), ('06.11.2022', '19', '19 th round', 'KVA', 'Sunday', 'Home', '5:3', '12', '21'), ('18.11.2022', '20', '20 th round', 'HRK', 'Friday', 'Away', '0:3', '13', '21'), ('20.11.2022', '21', '21 th round', 'BRN', 'Sunday', 'Home', '5:1', '11', '24'), ('25.11.2022', '22', '22 th round', 'TRI', 'Friday', 'Home', '1:2pp', '12', '25'), ('27.11.2022', '23', '23 th round', 'MBO', 'Sunday', 'Away', '4:6', '12', '25'), ('29.11.2022', '24', '24 th round', 'PLZ', 'Tuesday', 'Home', '2:4', '12', '25'), ('04.12.2022', '25', '26 th round', 'OLO', 'Sunday', 'Home', '5:3', '12', '28'), ('06.12.2022', '26', '25 th round', 'PAR', 'Tuesday', 'Away', '0:1', '12', '28'), ('09.12.2022', '27', '27 th round', 'VIT', 'Friday', 'Home', '5:3', '12', '31'), ('11.12.2022', '28', '28 th round', 'SPA', 'Sunday', 'Home', '5:2', '12', '34'), ('20.12.2022', '29', '29 th round', 'LIB', 'Tuesday', 'Home', '3:2sn', '11', '36'), ('22.12.2022', '30', '30 th round', 'BUD', 'Thursday', 'Away', '5:2', '11', '39'), ('26.12.2022', '31', '31 th round', 'KLA', 'Monday', 'Home', '2:3', '11', '39'), ('28.12.2022', '32', '32 th round', 'KVA', 'Wednesday', 'Away', '0:3', '11', '39'), ('30.12.2022', '33', '33 th round', 'HRK', 'Friday', 'Home', '2:3pp', '11', '40'), ('03.1.2023', '34', '34 th round', 'BRN', 'Tuesday', 'Away', '1:3', '12', '40'), ('06.1.2023', '35', '35 th round', 'TRI', 'Friday', 'Away', '2:3pp', '11', '41'), ('08.1.2023', '36', '36 th round', 'MBO', 'Sunday', 'Home', '4:3', '10', '44'), ('13.1.2023', '37', '37 th round', 'PLZ', 'Friday', 'Away', '1:4', '11', '44'), ('15.1.2023', '38', '38 th round', 'PAR', 'Sunday', 'Home', '1:2', '11', '44'), ('20.1.2023', '39', '39 th round', 'OLO', 'Friday', 'Away', '8:1', '10', '47'), ('22.1.2023', '40', '40 th round', 'VIT', 'Sunday', 'Away', '3:2sn', '11', '49'), ('25.1.2023', '41', '41 th round', 'SPA', 'Wednesday', 'Away', '2:3', '12', '49'), ('27.1.2023', '42', '42 th round', 'LIB', 'Friday', 'Away', '1:5', '13', '49'), ('29.1.2023', '43', '43 th round', 'BUD', 'Sunday', 'Home', '1:0sn', '12', '51'), ('03.2.2023', '44', '44 th round', 'KLA', 'Friday', 'Away', '2:5', '12', '51'), ('05.2.2023', '45', '45 th round', 'KVA', 'Sunday', 'Home', '1:2pp', '12', '52'), ('15.2.2023', '46', '46 th round', 'HRK', 'Wednesday', 'Away', '0:3', '12', '52'), ('17.2.2023', '47', '47 th round', 'BRN', 'Friday', 'Home', '3:2sn', '12', '54'), ('19.2.2023', '48', '48 th round', 'TRI', 'Sunday', 'Home', '4:3pp', '12', '56'), ('24.2.2023', '49', '49 th round', 'MBO', 'Friday', 'Away', '2:1', '12', '59'), ('26.2.2023', '50', '50 th round', 'PLZ', 'Sunday', 'Home', '2:1', '11', '62'), ('03.3.2023', '51', '51 th round', 'PAR', 'Friday', 'Away', '3:2sn', '12', '64'), ('05.3.2023', '52', '52 th round', 'OLO', 'Sunday', 'Home', '5:1', '11', '67'), ('08.3.2023', '53', 'Playoff 1st round ', 'TRI', 'Wednesday', 'Away', '1:3', '', ''), ('09.3.2023', '54', 'Playoff 1st round ', 'TRI', 'Thursday', 'Away', '4:5pp', '', ''), ('11.3.2023', '55', 'Playoff 1st round ', 'TRI', 'Saturday', 'Home', '2:4', '', ''), ('15.9.2023', '1', '1st round', 'PAR', 'Friday', 'Away', '1:5', '13', '0'), ('17.9.2023', '2', '2nd round', 'PLZ', 'Sunday', 'Home', '4:2', '10', '3'), ('22.9.2023', '3', '3rd round', 'BRN', 'Friday', 'Away', '3:2', '7', '6'), ('24.9.2023', '4', '4 th round', 'LIB', 'Sunday', 'Home', '4:1', '3', '9'), ('27.9.2023', '5', '5 th round', 'HRK', 'Wednesday', 'Away', '3:2sn', '3', '11'), ('29.9.2023', '6', '6 th round', 'MBO', 'Friday', 'Home', '5:2', '3', '14'), ('01.10.2023', '7', '7 th round', 'TRI', 'Sunday', 'Home', '6:4', '2', '17'), ('06.10.2023', '8', '8 th round', 'KVA', 'Friday', 'Away', '4:1', '2', '20'), ('08.10.2023', '9', '9 th round', 'BUD', 'Sunday', 'Home', '4:3', '2', '23'), ('13.10.2023', '10', '10 th round', 'SPA', 'Friday', 'Home', '4:2', '2', '26'), ('15.10.2023', '11', '11 th round', 'KLA', 'Sunday', 'Home', '5:4pp', '2', '28'), ('20.10.2023', '12', '12 th round', 'VIT', 'Friday', 'Home', '6:3', '2', '31'), ('22.10.2023', '13', '13 th round', 'OLO', 'Sunday', 'Away', '1:2', '2', '31'), ('27.10.2023', '14', '14 th round', 'PAR', 'Friday', 'Home', '4:1', '1', '34'), ('29.10.2023', '15', '15 th round', 'PLZ', 'Sunday', 'Away', '2:5', '2', '34'), ('31.10.2023', '16', '16 th round', 'BRN', 'Tuesday', 'Home', '6:3', '2', '37'), ('03.11.2023', '17', '17 th round', 'LIB', 'Friday', 'Away', '2:5', '2', '37'), ('05.11.2023', '18', '18 th round', 'HRK', 'Sunday', 'Home', '0:2', '2', '37'), ('17.11.2023', '19', '19 th round', 'MBO', 'Friday', 'Away', '0:5', '3', '37'), ('19.11.2023', '20', '20 th round', 'TRI', 'Sunday', 'Away', '3:2pp', '3', '39'), ('24.11.2023', '21', '21 th round', 'KVA', 'Friday', 'Home', '6:4', '3', '42'), ('26.11.2023', '22', '22 th round', 'BUD', 'Sunday', 'Away', '0:1', '4', '42'), ('28.11.2023', '23', '23 th round', 'SPA', 'Tuesday', 'Away', '1:3', '4', '42'), ('01.12.2023', '24', '24 th round', 'KLA', 'Friday', 'Away', '0:3', '4', '42'), ('03.12.2023', '25', '25 th round', 'VIT', 'Sunday', 'Away', '2:6', '4', '42'), ('08.12.2023', '26', '26 th round', 'OLO', 'Friday', 'Home', '1:2pp', '5', '43'), ('10.12.2023', '27', '27 th round', 'PAR', 'Sunday', 'Away', '4:2', '5', '46'), ('20.12.2023', '28', '28 th round', 'PLZ', 'Wednesday', 'Home', '2:3sn', '5', '47'), ('26.12.2023', '29', '30 th round', 'LIB', 'Tuesday', 'Home', '6:3', '4', '50'), ('28.12.2023', '30', '31 th round', 'HRK', 'Thursday', 'Away', '5:1', '4', '53'), ('30.12.2023', '31', '32 th round', 'MBO', 'Saturday', 'Home', '6:1', '4', '56'), ('03.1.2024', '32', '47 th round', 'KVA', 'Wednesday', 'Home', '1:6', '4', '56'), ('05.1.2024', '33', '33 th round', 'TRI', 'Friday', 'Home', '5:2', '4', '59'), ('07.1.2024', '34', '34 th round', 'KVA', 'Sunday', 'Away', '1:2pp', '4', '60'), ('12.1.2024', '35', '35 th round', 'BUD', 'Friday', 'Home', '4:3pp', '4', '62'), ('14.1.2024', '36', '36 th round', 'SPA', 'Sunday', 'Away', '3:6', '4', '62'), ('17.1.2024', '37', '29 th round', 'BRN', 'Wednesday', 'Away', '1:3', '4', '62'), ('19.1.2024', '38', '37 th round', 'KLA', 'Friday', 'Home', '4:3', '4', '65'), ('21.1.2024', '39', '38 th round', 'VIT', 'Sunday', 'Away', '1:5', '4', '65'), ('23.1.2024', '40', '39 th round', 'OLO', 'Tuesday', 'Home', '4:1', '4', '68'), ('26.1.2024', '41', '40 th round', 'PAR', 'Friday', 'Home', '1:3', '4', '68'), ('28.1.2024', '42', '41 th round', 'PLZ', 'Sunday', 'Away', '5:3', '4', '71'), ('02.2.2024', '43', '42 th round', 'BRN', 'Friday', 'Home', '2:3', '4', '71'), ('04.2.2024', '44', '43 th round', 'LIB', 'Sunday', 'Away', '2:6', '6', '71'), ('14.2.2024', '45', '44 th round', 'HRK', 'Wednesday', 'Home', '5:6pp', '6', '72'), ('16.2.2024', '46', '45 th round', 'MBO', 'Friday', 'Away', '3:2', '5', '75'), ('18.2.2024', '47', '46 th round', 'TRI', 'Sunday', 'Away', '2:5', '6', '75'), ('23.2.2024', '48', '48 th round', 'BUD', 'Friday', 'Away', '7:4', '4', '78'), ('25.2.2024', '49', '49 th round', 'SPA', 'Sunday', 'Home', '3:8', '5', '78'), ('27.2.2024', '50', '50 th round', 'KLA', 'Tuesday', 'Away', '0:2', '7', '78'), ('01.3.2024', '51', '51 th round', 'VIT', 'Friday', 'Home', '5:4', '6', '81'), ('03.3.2024', '52', '52 th round', 'OLO', 'Sunday', 'Away', '4:3sn', '5', '83'), ('06.3.2024', '53', 'Playoff 1st round  1', 'PLZ', 'Wednesday', 'Home', '4:2', '', ''), ('07.3.2024', '54', 'Playoff 1st round  2', 'PLZ', 'Thursday', 'Home', '4:1', '', ''), ('09.3.2024', '55', 'Playoff 1st round  3', 'PLZ', 'Saturday', 'Away', '2:1pp', '', ''), ('17.3.2024', '56', 'Quarter-finale  1', 'BRN', 'Sunday', 'Away', '2:1sn', '', ''), ('18.3.2024', '57', 'Quarter-finale  2', 'BRN', 'Monday', 'Away', '5:1', '', ''), ('21.3.2024', '58', 'Quarter-finale  3', 'BRN', 'Thursday', 'Home', '3:4', '', ''), ('22.3.2024', '59', 'Quarter-finale  4', 'BRN', 'Friday', 'Home', '1:5', '', ''), ('24.3.2024', '60', 'Quarter-finale  5', 'BRN', 'Sunday', 'Away', '2:1pp', '', ''), ('26.3.2024', '61</v>
      </c>
    </row>
    <row r="411" spans="1:23" x14ac:dyDescent="0.25">
      <c r="A411" s="2">
        <v>45386</v>
      </c>
      <c r="B411" s="1">
        <v>64</v>
      </c>
      <c r="C411" s="1" t="s">
        <v>151</v>
      </c>
      <c r="D411" s="1" t="s">
        <v>9</v>
      </c>
      <c r="E411" s="1" t="s">
        <v>61</v>
      </c>
      <c r="F411" s="1" t="s">
        <v>157</v>
      </c>
      <c r="G411" s="11" t="s">
        <v>174</v>
      </c>
      <c r="L411" t="s">
        <v>154</v>
      </c>
      <c r="M411" t="str">
        <f>CONCATENATE("(","'",TEXT(A411,"dd.m.rrrrr"),"'",L411,"'",B411,"'",L411,"'",C411,"'",L411,"'",D411,"'",L411,"'",E411,"'",L411,"'",F411,"'",L411,"'",G411,"'",L411,"'",H411,"'",L411,"'",I411,"'",")")</f>
        <v>('04.4.2024', '64', 'Semi-final 3', 'PAR', 'Thursday', 'Home', '2:3', '', '')</v>
      </c>
      <c r="W411" t="str">
        <f t="shared" si="6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'17'), ('04.11.2022', '18', '18 th round', 'KLA', 'Friday', 'Away', '2:3pp', '14', '18'), ('06.11.2022', '19', '19 th round', 'KVA', 'Sunday', 'Home', '5:3', '12', '21'), ('18.11.2022', '20', '20 th round', 'HRK', 'Friday', 'Away', '0:3', '13', '21'), ('20.11.2022', '21', '21 th round', 'BRN', 'Sunday', 'Home', '5:1', '11', '24'), ('25.11.2022', '22', '22 th round', 'TRI', 'Friday', 'Home', '1:2pp', '12', '25'), ('27.11.2022', '23', '23 th round', 'MBO', 'Sunday', 'Away', '4:6', '12', '25'), ('29.11.2022', '24', '24 th round', 'PLZ', 'Tuesday', 'Home', '2:4', '12', '25'), ('04.12.2022', '25', '26 th round', 'OLO', 'Sunday', 'Home', '5:3', '12', '28'), ('06.12.2022', '26', '25 th round', 'PAR', 'Tuesday', 'Away', '0:1', '12', '28'), ('09.12.2022', '27', '27 th round', 'VIT', 'Friday', 'Home', '5:3', '12', '31'), ('11.12.2022', '28', '28 th round', 'SPA', 'Sunday', 'Home', '5:2', '12', '34'), ('20.12.2022', '29', '29 th round', 'LIB', 'Tuesday', 'Home', '3:2sn', '11', '36'), ('22.12.2022', '30', '30 th round', 'BUD', 'Thursday', 'Away', '5:2', '11', '39'), ('26.12.2022', '31', '31 th round', 'KLA', 'Monday', 'Home', '2:3', '11', '39'), ('28.12.2022', '32', '32 th round', 'KVA', 'Wednesday', 'Away', '0:3', '11', '39'), ('30.12.2022', '33', '33 th round', 'HRK', 'Friday', 'Home', '2:3pp', '11', '40'), ('03.1.2023', '34', '34 th round', 'BRN', 'Tuesday', 'Away', '1:3', '12', '40'), ('06.1.2023', '35', '35 th round', 'TRI', 'Friday', 'Away', '2:3pp', '11', '41'), ('08.1.2023', '36', '36 th round', 'MBO', 'Sunday', 'Home', '4:3', '10', '44'), ('13.1.2023', '37', '37 th round', 'PLZ', 'Friday', 'Away', '1:4', '11', '44'), ('15.1.2023', '38', '38 th round', 'PAR', 'Sunday', 'Home', '1:2', '11', '44'), ('20.1.2023', '39', '39 th round', 'OLO', 'Friday', 'Away', '8:1', '10', '47'), ('22.1.2023', '40', '40 th round', 'VIT', 'Sunday', 'Away', '3:2sn', '11', '49'), ('25.1.2023', '41', '41 th round', 'SPA', 'Wednesday', 'Away', '2:3', '12', '49'), ('27.1.2023', '42', '42 th round', 'LIB', 'Friday', 'Away', '1:5', '13', '49'), ('29.1.2023', '43', '43 th round', 'BUD', 'Sunday', 'Home', '1:0sn', '12', '51'), ('03.2.2023', '44', '44 th round', 'KLA', 'Friday', 'Away', '2:5', '12', '51'), ('05.2.2023', '45', '45 th round', 'KVA', 'Sunday', 'Home', '1:2pp', '12', '52'), ('15.2.2023', '46', '46 th round', 'HRK', 'Wednesday', 'Away', '0:3', '12', '52'), ('17.2.2023', '47', '47 th round', 'BRN', 'Friday', 'Home', '3:2sn', '12', '54'), ('19.2.2023', '48', '48 th round', 'TRI', 'Sunday', 'Home', '4:3pp', '12', '56'), ('24.2.2023', '49', '49 th round', 'MBO', 'Friday', 'Away', '2:1', '12', '59'), ('26.2.2023', '50', '50 th round', 'PLZ', 'Sunday', 'Home', '2:1', '11', '62'), ('03.3.2023', '51', '51 th round', 'PAR', 'Friday', 'Away', '3:2sn', '12', '64'), ('05.3.2023', '52', '52 th round', 'OLO', 'Sunday', 'Home', '5:1', '11', '67'), ('08.3.2023', '53', 'Playoff 1st round ', 'TRI', 'Wednesday', 'Away', '1:3', '', ''), ('09.3.2023', '54', 'Playoff 1st round ', 'TRI', 'Thursday', 'Away', '4:5pp', '', ''), ('11.3.2023', '55', 'Playoff 1st round ', 'TRI', 'Saturday', 'Home', '2:4', '', ''), ('15.9.2023', '1', '1st round', 'PAR', 'Friday', 'Away', '1:5', '13', '0'), ('17.9.2023', '2', '2nd round', 'PLZ', 'Sunday', 'Home', '4:2', '10', '3'), ('22.9.2023', '3', '3rd round', 'BRN', 'Friday', 'Away', '3:2', '7', '6'), ('24.9.2023', '4', '4 th round', 'LIB', 'Sunday', 'Home', '4:1', '3', '9'), ('27.9.2023', '5', '5 th round', 'HRK', 'Wednesday', 'Away', '3:2sn', '3', '11'), ('29.9.2023', '6', '6 th round', 'MBO', 'Friday', 'Home', '5:2', '3', '14'), ('01.10.2023', '7', '7 th round', 'TRI', 'Sunday', 'Home', '6:4', '2', '17'), ('06.10.2023', '8', '8 th round', 'KVA', 'Friday', 'Away', '4:1', '2', '20'), ('08.10.2023', '9', '9 th round', 'BUD', 'Sunday', 'Home', '4:3', '2', '23'), ('13.10.2023', '10', '10 th round', 'SPA', 'Friday', 'Home', '4:2', '2', '26'), ('15.10.2023', '11', '11 th round', 'KLA', 'Sunday', 'Home', '5:4pp', '2', '28'), ('20.10.2023', '12', '12 th round', 'VIT', 'Friday', 'Home', '6:3', '2', '31'), ('22.10.2023', '13', '13 th round', 'OLO', 'Sunday', 'Away', '1:2', '2', '31'), ('27.10.2023', '14', '14 th round', 'PAR', 'Friday', 'Home', '4:1', '1', '34'), ('29.10.2023', '15', '15 th round', 'PLZ', 'Sunday', 'Away', '2:5', '2', '34'), ('31.10.2023', '16', '16 th round', 'BRN', 'Tuesday', 'Home', '6:3', '2', '37'), ('03.11.2023', '17', '17 th round', 'LIB', 'Friday', 'Away', '2:5', '2', '37'), ('05.11.2023', '18', '18 th round', 'HRK', 'Sunday', 'Home', '0:2', '2', '37'), ('17.11.2023', '19', '19 th round', 'MBO', 'Friday', 'Away', '0:5', '3', '37'), ('19.11.2023', '20', '20 th round', 'TRI', 'Sunday', 'Away', '3:2pp', '3', '39'), ('24.11.2023', '21', '21 th round', 'KVA', 'Friday', 'Home', '6:4', '3', '42'), ('26.11.2023', '22', '22 th round', 'BUD', 'Sunday', 'Away', '0:1', '4', '42'), ('28.11.2023', '23', '23 th round', 'SPA', 'Tuesday', 'Away', '1:3', '4', '42'), ('01.12.2023', '24', '24 th round', 'KLA', 'Friday', 'Away', '0:3', '4', '42'), ('03.12.2023', '25', '25 th round', 'VIT', 'Sunday', 'Away', '2:6', '4', '42'), ('08.12.2023', '26', '26 th round', 'OLO', 'Friday', 'Home', '1:2pp', '5', '43'), ('10.12.2023', '27', '27 th round', 'PAR', 'Sunday', 'Away', '4:2', '5', '46'), ('20.12.2023', '28', '28 th round', 'PLZ', 'Wednesday', 'Home', '2:3sn', '5', '47'), ('26.12.2023', '29', '30 th round', 'LIB', 'Tuesday', 'Home', '6:3', '4', '50'), ('28.12.2023', '30', '31 th round', 'HRK', 'Thursday', 'Away', '5:1', '4', '53'), ('30.12.2023', '31', '32 th round', 'MBO', 'Saturday', 'Home', '6:1', '4', '56'), ('03.1.2024', '32', '47 th round', 'KVA', 'Wednesday', 'Home', '1:6', '4', '56'), ('05.1.2024', '33', '33 th round', 'TRI', 'Friday', 'Home', '5:2', '4', '59'), ('07.1.2024', '34', '34 th round', 'KVA', 'Sunday', 'Away', '1:2pp', '4', '60'), ('12.1.2024', '35', '35 th round', 'BUD', 'Friday', 'Home', '4:3pp', '4', '62'), ('14.1.2024', '36', '36 th round', 'SPA', 'Sunday', 'Away', '3:6', '4', '62'), ('17.1.2024', '37', '29 th round', 'BRN', 'Wednesday', 'Away', '1:3', '4', '62'), ('19.1.2024', '38', '37 th round', 'KLA', 'Friday', 'Home', '4:3', '4', '65'), ('21.1.2024', '39', '38 th round', 'VIT', 'Sunday', 'Away', '1:5', '4', '65'), ('23.1.2024', '40', '39 th round', 'OLO', 'Tuesday', 'Home', '4:1', '4', '68'), ('26.1.2024', '41', '40 th round', 'PAR', 'Friday', 'Home', '1:3', '4', '68'), ('28.1.2024', '42', '41 th round', 'PLZ', 'Sunday', 'Away', '5:3', '4', '71'), ('02.2.2024', '43', '42 th round', 'BRN', 'Friday', 'Home', '2:3', '4', '71'), ('04.2.2024', '44', '43 th round', 'LIB', 'Sunday', 'Away', '2:6', '6', '71'), ('14.2.2024', '45', '44 th round', 'HRK', 'Wednesday', 'Home', '5:6pp', '6', '72'), ('16.2.2024', '46', '45 th round', 'MBO', 'Friday', 'Away', '3:2', '5', '75'), ('18.2.2024', '47', '46 th round', 'TRI', 'Sunday', 'Away', '2:5', '6', '75'), ('23.2.2024', '48', '48 th round', 'BUD', 'Friday', 'Away', '7:4', '4', '78'), ('25.2.2024', '49', '49 th round', 'SPA', 'Sunday', 'Home', '3:8', '5', '78'), ('27.2.2024', '50', '50 th round', 'KLA', 'Tuesday', 'Away', '0:2', '7', '78'), ('01.3.2024', '51', '51 th round', 'VIT', 'Friday', 'Home', '5:4', '6', '81'), ('03.3.2024', '52', '52 th round', 'OLO', 'Sunday', 'Away', '4:3sn', '5', '83'), ('06.3.2024', '53', 'Playoff 1st round  1', 'PLZ', 'Wednesday', 'Home', '4:2', '', ''), ('07.3.2024', '54', 'Playoff 1st round  2', 'PLZ', 'Thursday', 'Home', '4:1', '', ''), ('09.3.2024', '55', 'Playoff 1st round  3', 'PLZ', 'Saturday', 'Away', '2:1pp', '', ''), ('17.3.2024', '56', 'Quarter-finale  1', 'BRN', 'Sunday', 'Away', '2:1sn', '', ''), ('18.3.2024', '57', 'Quarter-finale  2', 'BRN', 'Monday', 'Away', '5:1', '', ''), ('21.3.2024', '58', 'Quarter-finale  3', 'BRN', 'Thursday', 'Home', '3:4', '', ''), ('22.3.2024', '59', 'Quarter-finale  4', 'BRN', 'Friday', 'Home', '1:5', '', ''), ('24.3.2024', '60', 'Quarter-finale  5', 'BRN', 'Sunday', 'Away', '2:1pp', '', ''), ('26.3.2024', '61</v>
      </c>
    </row>
    <row r="412" spans="1:23" x14ac:dyDescent="0.25">
      <c r="A412" s="2">
        <v>45387</v>
      </c>
      <c r="B412" s="1">
        <v>65</v>
      </c>
      <c r="C412" s="1" t="s">
        <v>152</v>
      </c>
      <c r="D412" s="1" t="s">
        <v>9</v>
      </c>
      <c r="E412" s="1" t="s">
        <v>55</v>
      </c>
      <c r="F412" s="1" t="s">
        <v>157</v>
      </c>
      <c r="G412" s="11" t="s">
        <v>199</v>
      </c>
      <c r="L412" t="s">
        <v>154</v>
      </c>
      <c r="M412" t="str">
        <f>CONCATENATE("(","'",TEXT(A412,"dd.m.rrrrr"),"'",L412,"'",B412,"'",L412,"'",C412,"'",L412,"'",D412,"'",L412,"'",E412,"'",L412,"'",F412,"'",L412,"'",G412,"'",L412,"'",H412,"'",L412,"'",I412,"'",")")</f>
        <v>('05.4.2024', '65', 'Semi-final 4', 'PAR', 'Friday', 'Home', '5:6', '', '')</v>
      </c>
      <c r="W412" t="str">
        <f t="shared" si="6"/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'17'), ('04.11.2022', '18', '18 th round', 'KLA', 'Friday', 'Away', '2:3pp', '14', '18'), ('06.11.2022', '19', '19 th round', 'KVA', 'Sunday', 'Home', '5:3', '12', '21'), ('18.11.2022', '20', '20 th round', 'HRK', 'Friday', 'Away', '0:3', '13', '21'), ('20.11.2022', '21', '21 th round', 'BRN', 'Sunday', 'Home', '5:1', '11', '24'), ('25.11.2022', '22', '22 th round', 'TRI', 'Friday', 'Home', '1:2pp', '12', '25'), ('27.11.2022', '23', '23 th round', 'MBO', 'Sunday', 'Away', '4:6', '12', '25'), ('29.11.2022', '24', '24 th round', 'PLZ', 'Tuesday', 'Home', '2:4', '12', '25'), ('04.12.2022', '25', '26 th round', 'OLO', 'Sunday', 'Home', '5:3', '12', '28'), ('06.12.2022', '26', '25 th round', 'PAR', 'Tuesday', 'Away', '0:1', '12', '28'), ('09.12.2022', '27', '27 th round', 'VIT', 'Friday', 'Home', '5:3', '12', '31'), ('11.12.2022', '28', '28 th round', 'SPA', 'Sunday', 'Home', '5:2', '12', '34'), ('20.12.2022', '29', '29 th round', 'LIB', 'Tuesday', 'Home', '3:2sn', '11', '36'), ('22.12.2022', '30', '30 th round', 'BUD', 'Thursday', 'Away', '5:2', '11', '39'), ('26.12.2022', '31', '31 th round', 'KLA', 'Monday', 'Home', '2:3', '11', '39'), ('28.12.2022', '32', '32 th round', 'KVA', 'Wednesday', 'Away', '0:3', '11', '39'), ('30.12.2022', '33', '33 th round', 'HRK', 'Friday', 'Home', '2:3pp', '11', '40'), ('03.1.2023', '34', '34 th round', 'BRN', 'Tuesday', 'Away', '1:3', '12', '40'), ('06.1.2023', '35', '35 th round', 'TRI', 'Friday', 'Away', '2:3pp', '11', '41'), ('08.1.2023', '36', '36 th round', 'MBO', 'Sunday', 'Home', '4:3', '10', '44'), ('13.1.2023', '37', '37 th round', 'PLZ', 'Friday', 'Away', '1:4', '11', '44'), ('15.1.2023', '38', '38 th round', 'PAR', 'Sunday', 'Home', '1:2', '11', '44'), ('20.1.2023', '39', '39 th round', 'OLO', 'Friday', 'Away', '8:1', '10', '47'), ('22.1.2023', '40', '40 th round', 'VIT', 'Sunday', 'Away', '3:2sn', '11', '49'), ('25.1.2023', '41', '41 th round', 'SPA', 'Wednesday', 'Away', '2:3', '12', '49'), ('27.1.2023', '42', '42 th round', 'LIB', 'Friday', 'Away', '1:5', '13', '49'), ('29.1.2023', '43', '43 th round', 'BUD', 'Sunday', 'Home', '1:0sn', '12', '51'), ('03.2.2023', '44', '44 th round', 'KLA', 'Friday', 'Away', '2:5', '12', '51'), ('05.2.2023', '45', '45 th round', 'KVA', 'Sunday', 'Home', '1:2pp', '12', '52'), ('15.2.2023', '46', '46 th round', 'HRK', 'Wednesday', 'Away', '0:3', '12', '52'), ('17.2.2023', '47', '47 th round', 'BRN', 'Friday', 'Home', '3:2sn', '12', '54'), ('19.2.2023', '48', '48 th round', 'TRI', 'Sunday', 'Home', '4:3pp', '12', '56'), ('24.2.2023', '49', '49 th round', 'MBO', 'Friday', 'Away', '2:1', '12', '59'), ('26.2.2023', '50', '50 th round', 'PLZ', 'Sunday', 'Home', '2:1', '11', '62'), ('03.3.2023', '51', '51 th round', 'PAR', 'Friday', 'Away', '3:2sn', '12', '64'), ('05.3.2023', '52', '52 th round', 'OLO', 'Sunday', 'Home', '5:1', '11', '67'), ('08.3.2023', '53', 'Playoff 1st round ', 'TRI', 'Wednesday', 'Away', '1:3', '', ''), ('09.3.2023', '54', 'Playoff 1st round ', 'TRI', 'Thursday', 'Away', '4:5pp', '', ''), ('11.3.2023', '55', 'Playoff 1st round ', 'TRI', 'Saturday', 'Home', '2:4', '', ''), ('15.9.2023', '1', '1st round', 'PAR', 'Friday', 'Away', '1:5', '13', '0'), ('17.9.2023', '2', '2nd round', 'PLZ', 'Sunday', 'Home', '4:2', '10', '3'), ('22.9.2023', '3', '3rd round', 'BRN', 'Friday', 'Away', '3:2', '7', '6'), ('24.9.2023', '4', '4 th round', 'LIB', 'Sunday', 'Home', '4:1', '3', '9'), ('27.9.2023', '5', '5 th round', 'HRK', 'Wednesday', 'Away', '3:2sn', '3', '11'), ('29.9.2023', '6', '6 th round', 'MBO', 'Friday', 'Home', '5:2', '3', '14'), ('01.10.2023', '7', '7 th round', 'TRI', 'Sunday', 'Home', '6:4', '2', '17'), ('06.10.2023', '8', '8 th round', 'KVA', 'Friday', 'Away', '4:1', '2', '20'), ('08.10.2023', '9', '9 th round', 'BUD', 'Sunday', 'Home', '4:3', '2', '23'), ('13.10.2023', '10', '10 th round', 'SPA', 'Friday', 'Home', '4:2', '2', '26'), ('15.10.2023', '11', '11 th round', 'KLA', 'Sunday', 'Home', '5:4pp', '2', '28'), ('20.10.2023', '12', '12 th round', 'VIT', 'Friday', 'Home', '6:3', '2', '31'), ('22.10.2023', '13', '13 th round', 'OLO', 'Sunday', 'Away', '1:2', '2', '31'), ('27.10.2023', '14', '14 th round', 'PAR', 'Friday', 'Home', '4:1', '1', '34'), ('29.10.2023', '15', '15 th round', 'PLZ', 'Sunday', 'Away', '2:5', '2', '34'), ('31.10.2023', '16', '16 th round', 'BRN', 'Tuesday', 'Home', '6:3', '2', '37'), ('03.11.2023', '17', '17 th round', 'LIB', 'Friday', 'Away', '2:5', '2', '37'), ('05.11.2023', '18', '18 th round', 'HRK', 'Sunday', 'Home', '0:2', '2', '37'), ('17.11.2023', '19', '19 th round', 'MBO', 'Friday', 'Away', '0:5', '3', '37'), ('19.11.2023', '20', '20 th round', 'TRI', 'Sunday', 'Away', '3:2pp', '3', '39'), ('24.11.2023', '21', '21 th round', 'KVA', 'Friday', 'Home', '6:4', '3', '42'), ('26.11.2023', '22', '22 th round', 'BUD', 'Sunday', 'Away', '0:1', '4', '42'), ('28.11.2023', '23', '23 th round', 'SPA', 'Tuesday', 'Away', '1:3', '4', '42'), ('01.12.2023', '24', '24 th round', 'KLA', 'Friday', 'Away', '0:3', '4', '42'), ('03.12.2023', '25', '25 th round', 'VIT', 'Sunday', 'Away', '2:6', '4', '42'), ('08.12.2023', '26', '26 th round', 'OLO', 'Friday', 'Home', '1:2pp', '5', '43'), ('10.12.2023', '27', '27 th round', 'PAR', 'Sunday', 'Away', '4:2', '5', '46'), ('20.12.2023', '28', '28 th round', 'PLZ', 'Wednesday', 'Home', '2:3sn', '5', '47'), ('26.12.2023', '29', '30 th round', 'LIB', 'Tuesday', 'Home', '6:3', '4', '50'), ('28.12.2023', '30', '31 th round', 'HRK', 'Thursday', 'Away', '5:1', '4', '53'), ('30.12.2023', '31', '32 th round', 'MBO', 'Saturday', 'Home', '6:1', '4', '56'), ('03.1.2024', '32', '47 th round', 'KVA', 'Wednesday', 'Home', '1:6', '4', '56'), ('05.1.2024', '33', '33 th round', 'TRI', 'Friday', 'Home', '5:2', '4', '59'), ('07.1.2024', '34', '34 th round', 'KVA', 'Sunday', 'Away', '1:2pp', '4', '60'), ('12.1.2024', '35', '35 th round', 'BUD', 'Friday', 'Home', '4:3pp', '4', '62'), ('14.1.2024', '36', '36 th round', 'SPA', 'Sunday', 'Away', '3:6', '4', '62'), ('17.1.2024', '37', '29 th round', 'BRN', 'Wednesday', 'Away', '1:3', '4', '62'), ('19.1.2024', '38', '37 th round', 'KLA', 'Friday', 'Home', '4:3', '4', '65'), ('21.1.2024', '39', '38 th round', 'VIT', 'Sunday', 'Away', '1:5', '4', '65'), ('23.1.2024', '40', '39 th round', 'OLO', 'Tuesday', 'Home', '4:1', '4', '68'), ('26.1.2024', '41', '40 th round', 'PAR', 'Friday', 'Home', '1:3', '4', '68'), ('28.1.2024', '42', '41 th round', 'PLZ', 'Sunday', 'Away', '5:3', '4', '71'), ('02.2.2024', '43', '42 th round', 'BRN', 'Friday', 'Home', '2:3', '4', '71'), ('04.2.2024', '44', '43 th round', 'LIB', 'Sunday', 'Away', '2:6', '6', '71'), ('14.2.2024', '45', '44 th round', 'HRK', 'Wednesday', 'Home', '5:6pp', '6', '72'), ('16.2.2024', '46', '45 th round', 'MBO', 'Friday', 'Away', '3:2', '5', '75'), ('18.2.2024', '47', '46 th round', 'TRI', 'Sunday', 'Away', '2:5', '6', '75'), ('23.2.2024', '48', '48 th round', 'BUD', 'Friday', 'Away', '7:4', '4', '78'), ('25.2.2024', '49', '49 th round', 'SPA', 'Sunday', 'Home', '3:8', '5', '78'), ('27.2.2024', '50', '50 th round', 'KLA', 'Tuesday', 'Away', '0:2', '7', '78'), ('01.3.2024', '51', '51 th round', 'VIT', 'Friday', 'Home', '5:4', '6', '81'), ('03.3.2024', '52', '52 th round', 'OLO', 'Sunday', 'Away', '4:3sn', '5', '83'), ('06.3.2024', '53', 'Playoff 1st round  1', 'PLZ', 'Wednesday', 'Home', '4:2', '', ''), ('07.3.2024', '54', 'Playoff 1st round  2', 'PLZ', 'Thursday', 'Home', '4:1', '', ''), ('09.3.2024', '55', 'Playoff 1st round  3', 'PLZ', 'Saturday', 'Away', '2:1pp', '', ''), ('17.3.2024', '56', 'Quarter-finale  1', 'BRN', 'Sunday', 'Away', '2:1sn', '', ''), ('18.3.2024', '57', 'Quarter-finale  2', 'BRN', 'Monday', 'Away', '5:1', '', ''), ('21.3.2024', '58', 'Quarter-finale  3', 'BRN', 'Thursday', 'Home', '3:4', '', ''), ('22.3.2024', '59', 'Quarter-finale  4', 'BRN', 'Friday', 'Home', '1:5', '', ''), ('24.3.2024', '60', 'Quarter-finale  5', 'BRN', 'Sunday', 'Away', '2:1pp', '', ''), ('26.3.2024', '61</v>
      </c>
    </row>
    <row r="413" spans="1:23" x14ac:dyDescent="0.25">
      <c r="B413" s="1"/>
      <c r="W413" t="str">
        <f>CONCATENATE(W412,", ",M413)</f>
        <v>('08.9.2017', '1', '1st round', 'PLZ', 'Friday', 'Away', '1:5', '', '0'), ('10.9.2017', '2', '2nd round', 'LIB', 'Sunday', 'Home', '2:0', '', '3'), ('12.9.2017', '3', '3rd round', 'HRK', 'Tuesday', 'Home', '3:0', '', '6'), ('17.9.2017', '4', '5 th round', 'OLO', 'Sunday', 'Home', '0:3', '', '6'), ('22.9.2017', '5', '6 th round', 'ZLN', 'Friday', 'Away', '2:3', '', '6'), ('23.9.2017', '6', '7 th round', 'TRI', 'Saturday', 'Away', '1:5', '', '6'), ('29.9.2017', '7', '8 th round', 'MBO', 'Friday', 'Away', '0:2', '', '6'), ('01.10.2017', '8', '9 th round', 'CHO', 'Sunday', 'Home', '2:3', '', '6'), ('06.10.2017', '9', '10 th round', 'JIH', 'Friday', 'Away', '1:4', '', '6'), ('08.10.2017', '10', '11 th round', 'PAR', 'Sunday', 'Home', '0:1sn', '', '7'), ('10.10.2017', '11', '4 th round', 'SPA', 'Tuesday', 'Away', '1:3', '', '7'), ('13.10.2017', '12', '12 th round', 'VIT', 'Friday', 'Away', '3:7', '', '7'), ('15.10.2017', '13', '13 th round', 'BRN', 'Sunday', 'Home', '4:3sn', '', '9'), ('17.10.2017', '14', '14 th round', 'PLZ', 'Tuesday', 'Home', '2:1pp', '', '11'), ('20.10.2017', '15', '15 th round', 'LIB', 'Friday', 'Home', '2:3sn', '', '12'), ('22.10.2017', '16', '16 th round', 'HRK', 'Sunday', 'Away', '5:4sn', '', '14'), ('27.10.2017', '17', '17 th round', 'SPA', 'Friday', 'Home', '4:3', '', '17'), ('29.10.2017', '18', '18 th round', 'OLO', 'Sunday', 'Away', '3:1', '', '20'), ('03.11.2017', '19', '19 th round', 'ZLN', 'Friday', 'Home', '1:3', '', '20'), ('05.11.2017', '20', '20 th round', 'TRI', 'Sunday', 'Home', '2:3', '', '20'), ('15.11.2017', '21', '21 th round', 'MBO', 'Wednesday', 'Home', '6:3', '', '23'), ('17.11.2017', '22', '22 th round', 'CHO', 'Friday', 'Away', '3:1', '', '26'), ('19.11.2017', '23', '23 th round', 'JIH', 'Sunday', 'Home', '3:0', '', '29'), ('21.11.2017', '24', '24 th round', 'PAR', 'Tuesday', 'Away', '0:5', '', '29'), ('24.11.2017', '25', '25 th round', 'VIT', 'Friday', 'Home', '2:1pp', '', '31'), ('26.11.2017', '26', '26 th round', 'BRN', 'Sunday', 'Away', '2:6', '', '31'), ('01.12.2017', '27', '27 th round', 'PLZ', 'Friday', 'Away', '1:5', '', '31'), ('03.12.2017', '28', '28 th round', 'LIB', 'Sunday', 'Away', '3:4pp', '', '32'), ('08.12.2017', '29', '29 th round', 'HRK', 'Friday', 'Home', '3:4', '', '32'), ('10.12.2017', '30', '30 th round', 'SPA', 'Sunday', 'Away', '6:3', '', '35'), ('20.12.2017', '31', '31 th round', 'OLO', 'Wednesday', 'Home', '2:3sn', '', '36'), ('22.12.2017', '32', '32 th round', 'ZLN', 'Friday', 'Away', '4:2', '', '39'), ('26.12.2017', '33', '33 th round', 'TRI', 'Tuesday', 'Home', '2:5', '', '39'), ('28.12.2017', '34', '34 th round', 'MBO', 'Thursday', 'Away', '2:0', '', '42'), ('30.12.2017', '35', '35 th round', 'CHO', 'Saturday', 'Home', '2:3sn', '', '43'), ('03.1.2018', '36', '36 th round', 'JIH', 'Wednesday', 'Away', '4:5', '', '43'), ('05.1.2018', '37', '37 th round', 'PAR', 'Friday', 'Home', '1:2', '', '43'), ('07.1.2018', '38', '38 th round', 'VIT', 'Sunday', 'Away', '3:6', '', '43'), ('12.1.2018', '39', '39 th round', 'BRN', 'Friday', 'Home', '1:4', '', '43'), ('14.1.2018', '40', '40 th round', 'PLZ', 'Sunday', 'Home', '4:5', '', '43'), ('19.1.2018', '41', '41 th round', 'LIB', 'Friday', 'Away', '1:5', '', '43'), ('21.1.2018', '42', '42 th round', 'HRK', 'Sunday', 'Away', '3:7', '', '43'), ('23.1.2018', '43', '49 th round', 'JIH', 'Tuesday', 'Home', '1:3', '', '43'), ('26.1.2018', '44', '43 th round', 'SPA', 'Friday', 'Home', '1:4', '', '43'), ('28.1.2018', '45', '44 th round', 'OLO', 'Sunday', 'Away', '2:4', '', '43'), ('30.1.2018', '46', '45 th round', 'ZLN', 'Tuesday', 'Home', '3:4pp', '', '44'), ('02.2.2018', '47', '46 th round', 'TRI', 'Friday', 'Away', '3:4', '', '44'), ('04.2.2018', '48', '47 th round', 'MBO', 'Sunday', 'Home', '4:3pp', '', '46'), ('06.2.2018', '49', '48 th round', 'CHO', 'Tuesday', 'Away', '4:3sn', '', '48'), ('28.2.2018', '50', '50 th round', 'PAR', 'Wednesday', 'Away', '1:2', '', '48'), ('02.3.2018', '51', '51 th round', 'VIT', 'Friday', 'Home', '2:1pp', '', '50'), ('04.3.2018', '52', '52 th round', 'BRN', 'Sunday', 'Away', '0:4', '', '50'), ('06.3.2018', '53', 'Playout 1', 'CHO', 'Tuesday', 'Away', '4:3pp', '', '52'), ('09.3.2018', '54', 'Playout 2', 'MBO', 'Friday', 'Home', '2:3pp', '', '53'), ('11.3.2018', '55', 'Playout 3', 'JIH', 'Sunday', 'Home', '2:0', '', '56'), ('16.3.2018', '56', 'Playout 4', 'JIH', 'Friday', 'Away', '1:0', '', '59'), ('18.3.2018', '57', 'Playout 5', 'CHO', 'Sunday', 'Home', '1:3', '', '59'), ('23.3.2018', '58', 'Playout 6', 'MBO', 'Friday', 'Away', '2:5', '', '59'), ('27.3.2018', '59', 'Relegation round  1', 'KVA', 'Tuesday', 'Home', '3:1', '', '3'), ('30.3.2018', '60', 'Relegation round  2', 'KLA', 'Friday', 'Away', '2:1', '', '6'), ('01.4.2018', '61', 'Relegation round  3', 'JIH', 'Sunday', 'Away', '1:4', '', '6'), ('03.4.2018', '62', 'Relegation round  4', 'JIH', 'Tuesday', 'Home', '2:4', '', '6'), ('06.4.2018', '63', 'Relegation round  5', 'KVA', 'Friday', 'Away', '4:3pp', '', '8'), ('08.4.2018', '64', 'Relegation round  6', 'KLA', 'Sunday', 'Home', '1:2', '', '8'), ('10.4.2018', '65', 'Relegation round  7', 'KVA', 'Tuesday', 'Home', '1:5', '', '8'), ('13.4.2018', '66', 'Relegation round  8', 'KLA', 'Friday', 'Away', '3:1', '', '11'), ('15.4.2018', '67', 'Relegation round  9', 'JIH', 'Sunday', 'Away', '1:2sn', '', '12'), ('17.4.2018', '68', 'Relegation round  10', 'JIH', 'Tuesday', 'Home', '3:2', '', '15'), ('20.4.2018', '69', 'Relegation round  11', 'KVA', 'Friday', 'Away', '1:0pp', '', '17'), ('22.4.2018', '70', 'Relegation round  12', 'KLA', 'Sunday', 'Home', '5:2', '', '20'), ('14.9.2018', '1', '1st round', 'MBO', 'Friday', 'Away', '4:3', '5', '3'), ('16.9.2018', '2', '2nd round', 'ZLN', 'Sunday', 'Home', '5:2', '1', '6'), ('21.9.2018', '3', '3rd round', 'PAR', 'Friday', 'Away', '6:2', '1', '9'), ('23.9.2018', '4', '4 th round', 'CHO', 'Sunday', 'Home', '4:1', '1', '12'), ('28.9.2018', '5', '5 th round', 'KVA', 'Friday', 'Away', '4:3pp', '1', '14'), ('30.9.2018', '6', '6 th round', 'OLO', 'Sunday', 'Home', '2:1', '1', '17'), ('05.10.2018', '7', '7 th round', 'TRI', 'Friday', 'Home', '0:2', '2', '17'), ('07.10.2018', '8', '8 th round', 'HRK', 'Sunday', 'Home', '2:1', '1', '20'), ('12.10.2018', '9', '9 th round', 'BRN', 'Friday', 'Away', '1:3', '2', '20'), ('14.10.2018', '10', '10 th round', 'LIB', 'Sunday', 'Away', '0:5', '4', '20'), ('20.10.2018', '11', '11 th round', 'SPA', 'Saturday', 'Home', '0:2', '5', '20'), ('21.10.2018', '12', '12 th round', 'PLZ', 'Sunday', 'Away', '1:4', '6', '20'), ('23.10.2018', '13', '24 th round', 'SPA', 'Tuesday', 'Away', '2:1', '5', '23'), ('26.10.2018', '14', '13 th round', 'VIT', 'Friday', 'Home', '1:0', '3', '26'), ('28.10.2018', '15', '14 th round', 'MBO', 'Sunday', 'Home', '0:3', '4', '26'), ('30.10.2018', '16', '15 th round', 'ZLN', 'Tuesday', 'Away', '2:5', '5', '26'), ('03.11.2018', '17', '16 th round', 'PAR', 'Saturday', 'Home', '3:4', '7', '26'), ('04.11.2018', '18', '17 th round', 'CHO', 'Sunday', 'Away', '2:1pp', '7', '28'), ('14.11.2018', '19', '18 th round', 'KVA', 'Wednesday', 'Home', '7:2', '6', '31'), ('16.11.2018', '20', '19 th round', 'OLO', 'Friday', 'Away', '1:3', '7', '31'), ('17.11.2018', '21', '20 th round', 'TRI', 'Saturday', 'Away', '2:4', '7', '31'), ('23.11.2018', '22', '21 th round', 'HRK', 'Friday', 'Away', '2:3', '8', '31'), ('25.11.2018', '23', '22 th round', 'BRN', 'Sunday', 'Home', '2:3', '9', '31'), ('30.11.2018', '24', '23 th round', 'LIB', 'Friday', 'Home', '6:2', '10', '34'), ('07.12.2018', '25', '25 th round', 'PLZ', 'Friday', 'Home', '1:2sn', '11', '35'), ('09.12.2018', '26', '26 th round', 'VIT', 'Sunday', 'Away', '3:0', '10', '38'), ('19.12.2018', '27', '27 th round', 'MBO', 'Wednesday', 'Away', '2:5', '10', '38'), ('21.12.2018', '28', '28 th round', 'ZLN', 'Friday', 'Home', '5:3', '9', '41'), ('26.12.2018', '29', '29 th round', 'PAR', 'Wednesday', 'Away', '3:2', '8', '44'), ('28.12.2018', '30', '30 th round', 'CHO', 'Friday', 'Home', '0:1', '9', '44'), ('30.12.2018', '31', '31 th round', 'KVA', 'Sunday', 'Away', '3:2', '7', '47'), ('04.1.2019', '32', '32 th round', 'OLO', 'Friday', 'Home', '1:4', '8', '47'), ('06.1.2019', '33', '33 th round', 'TRI', 'Sunday', 'Away', '1:4', '10', '47'), ('11.1.2019', '34', '34 th round', 'HRK', 'Friday', 'Home', '1:2', '10', '47'), ('13.1.2019', '35', '35 th round', 'BRN', 'Sunday', 'Away', '5:3', '10', '50'), ('18.1.2019', '36', '36 th round', 'LIB', 'Friday', 'Away', '3:2', '10', '53'), ('20.1.2019', '37', '37 th round', 'SPA', 'Sunday', 'Home', '1:4', '11', '53'), ('25.1.2019', '38', '38 th round', 'PLZ', 'Friday', 'Away', '1:7', '11', '53'), ('27.1.2019', '39', '39 th round', 'VIT', 'Sunday', 'Home', '5:1', '10', '56'), ('29.1.2019', '40', '40 th round', 'MBO', 'Tuesday', 'Home', '0:4', '10', '56'), ('01.2.2019', '41', '41 th round', 'ZLN', 'Friday', 'Away', '2:1sn', '10', '58'), ('03.2.2019', '42', '42 th round', 'PAR', 'Sunday', 'Home', '2:1', '10', '61'), ('13.2.2019', '43', '43 th round', 'CHO', 'Wednesday', 'Away', '1:4', '10', '61'), ('15.2.2019', '44', '44 th round', 'KVA', 'Friday', 'Home', '5:4pp', '10', '63'), ('17.2.2019', '45', '45 th round', 'OLO', 'Sunday', 'Away', '5:4pp', '10', '65'), ('19.2.2019', '46', '46 th round', 'TRI', 'Tuesday', 'Home', '0:5', '11', '65'), ('22.2.2019', '47', '47 th round', 'HRK', 'Friday', 'Away', '1:4', '11', '65'), ('24.2.2019', '48', '48 th round', 'BRN', 'Sunday', 'Home', '3:4', '11', '65'), ('01.3.2019', '49', '49 th round', 'LIB', 'Friday', 'Home', '6:3', '11', '68'), ('03.3.2019', '50', '50 th round', 'SPA', 'Sunday', 'Away', '3:5', '11', '68'), ('05.3.2019', '51', '51 th round', 'PLZ', 'Tuesday', 'Home', '5:1', '11', '71'), ('08.3.2019', '52', '52 th round', 'VIT', 'Friday', 'Away', '1:5', '11', '71'), ('12.3.2019', '53', 'PLAYOUT 1', 'PAR', 'Tuesday', 'Home', '6:3', '11', '74'), ('15.3.2019', '54', 'PLAYOUT 2', 'CHO', 'Friday', 'Away', '4:2', '11', '77'), ('17.3.2019', '55', 'PLAYOUT 3', 'KVA', 'Sunday', 'Home', '3:6', '11', '77'), ('19.3.2019', '56', 'PLAYOUT 4', 'KVA', 'Tuesday', 'Away', '5:4pp', '11', '79'), ('22.3.2019', '57', 'PLAYOUT 5', 'PAR', 'Friday', 'Away', '5:2', '11', '82'), ('24.3.2019', '58', 'PLAYOUT 6', 'CHO', 'Sunday', 'Home', '4:2', '11', '85'), ('13.9.2019', '1', '1st round', 'BRN', 'Friday', 'Home', '2:1', '3', '3'), ('15.9.2019', '2', '2nd round', 'PLZ', 'Sunday', 'Away', '0:2', '10', '3'), ('20.9.2019', '3', '3rd round', 'PAR', 'Friday', 'Home', '1:2', '11', '3'), ('22.9.2019', '4', '4 th round', 'TRI', 'Sunday', 'Away', '2:3', '12', '3'), ('27.9.2019', '5', '5 th round', 'LIB', 'Friday', 'Home', '4:5', '13', '3'), ('04.10.2019', '6', '7 th round', 'MBO', 'Friday', 'Away', '1:5', '12', '3'), ('06.10.2019', '7', '8 th round', 'HRK', 'Sunday', 'Home', '6:5', '12', '6'), ('09.10.2019', '8', '9 th round', 'KVA', 'Wednesday', 'Away', '3:4pp', '12', '7'), ('13.10.2019', '9', '10 th round', 'ZLN', 'Sunday', 'Home', '5:1', '12', '10'), ('15.10.2019', '10', '6 th round', 'SPA', 'Tuesday', 'Away', '4:5pp', '12', '11'), ('18.10.2019', '11', '11 th round', 'VIT', 'Friday', 'Away', '0:2', '13', '11'), ('20.10.2019', '12', '12 th round', 'OLO', 'Sunday', 'Home', '3:4', '13', '11'), ('25.10.2019', '13', '13 th round', 'KLA', 'Friday', 'Away', '3:2pp', '11', '13'), ('27.10.2019', '14', '14 th round', 'BRN', 'Sunday', 'Away', '3:4sn', '11', '14'), ('29.10.2019', '15', '15 th round', 'PLZ', 'Tuesday', 'Home', '1:3', '12', '14'), ('01.11.2019', '16', '16 th round', 'PAR', 'Friday', 'Away', '4:3', '11', '17'), ('02.11.2019', '17', '17 th round', 'TRI', 'Saturday', 'Away', '0:2', '12', '17'), ('15.11.2019', '18', '18 th round', 'LIB', 'Friday', 'Away', '1:6', '13', '17'), ('17.11.2019', '19', '19 th round', 'SPA', 'Sunday', 'Home', '3:4pp', '13', '18'), ('22.11.2019', '20', '20 th round', 'MBO', 'Friday', 'Home', '2:5', '13', '18'), ('24.11.2019', '21', '21 th round', 'HRK', 'Sunday', 'Away', '2:6', '13', '18'), ('26.11.2019', '22', '22 th round', 'KVA', 'Tuesday', 'Home', '2:1', '13', '21'), ('29.11.2019', '23', '23 th round', 'ZLN', 'Friday', 'Away', '1:3', '14', '21'), ('01.12.2019', '24', '24 th round', 'VIT', 'Sunday', 'Home', '6:2', '13', '24'), ('03.12.2019', '25', '33 th round', 'MBO', 'Tuesday', 'Away', '6:4', '12', '27'), ('06.12.2019', '26', '25 th round', 'OLO', 'Friday', 'Away', '1:3', '12', '27'), ('08.12.2019', '27', '26 th round', 'KLA', 'Sunday', 'Home', '4:1', '12', '30'), ('18.12.2019', '28', '27 th round', 'BRN', 'Wednesday', 'Home', '5:2', '10', '33'), ('20.12.2019', '29', '28 th round', 'PLZ', 'Friday', 'Away', '2:6', '13', '33'), ('22.12.2019', '30', '29 th round', 'PAR', 'Sunday', 'Home', '4:3sn', '11', '35'), ('28.12.2019', '31', '31 th round', 'LIB', 'Saturday', 'Home', '3:4', '12', '35'), ('30.12.2019', '32', '32 th round', 'SPA', 'Monday', 'Away', '4:8', '13', '35'), ('04.1.2020', '33', '45 th round', 'SPA', 'Saturday', 'Open air HomeresHomeen', '2:3', '13', '35'), ('10.1.2020', '34', '35 th round', 'KVA', 'Friday', 'Away', '2:3pp', '13', '36'), ('12.1.2020', '35', '36 th round', 'ZLN', 'Sunday', 'Home', '2:6', '13', '36'), ('17.1.2020', '36', '37 th round', 'VIT', 'Friday', 'Away', '3:5', '13', '36'), ('19.1.2020', '37', '38 th round', 'OLO', 'Sunday', 'Home', '1:3', '13', '36'), ('24.1.2020', '38', '39 th round', 'KLA', 'Friday', 'Away', '5:3', '13', '39'), ('26.1.2020', '39', '40 th round', 'BRN', 'Sunday', 'Away', '3:4sn', '13', '40'), ('28.1.2020', '40', '41 th round', 'PLZ', 'Tuesday', 'Home', '5:1', '13', '43'), ('31.1.2020', '41', '42 th round', 'PAR', 'Friday', 'Away', '2:1', '13', '46'), ('02.2.2020', '42', '43 th round', 'TRI', 'Sunday', 'Home', '2:3', '13', '46'), ('12.2.2020', '43', '44 th round', 'LIB', 'Wednesday', 'Away', '4:5pp', '13', '47'), ('16.2.2020', '44', '46 th round', 'MBO', 'Sunday', 'Home', '2:3sn', '14', '48'), ('19.2.2020', '45', '30 th round', 'TRI', 'Wednesday', 'Home', '5:2', '12', '51'), ('21.2.2020', '46', '47 th round', 'HRK', 'Friday', 'Away', '5:4sn', '13', '53'), ('23.2.2020', '47', '48 th round', 'KVA', 'Sunday', 'Home', '6:4', '12', '56'), ('25.2.2020', '48', '34 th round', 'HRK', 'Tuesday', 'Home', '2:3', '12', '56'), ('28.2.2020', '49', '49 th round', 'ZLN', 'Friday', 'Away', '3:4pp', '12', '57'), ('01.3.2020', '50', '50 th round', 'VIT', 'Sunday', 'Home', '4:0', '11', '60'), ('03.3.2020', '51', '51 th round', 'OLO', 'Tuesday', 'Away', '1:3', '13', '60'), ('06.3.2020', '52', '52 th round', 'KLA', 'Friday', 'Home', '6:2', '12', '63'), ('20.9.2020', '1', '20 th round', 'HRK', 'Sunday', 'Home', '2:4', '12', '0'), ('22.9.2020', '2', '11 th round', 'TRI', 'Tuesday', 'Home', '3:6', '12', '0'), ('11.10.2020', '3', '9 th round', 'SPA', 'Sunday', 'Home', '1:3', '14', '0'), ('07.11.2020', '4', '4 th round', 'PLZ', 'Saturday', 'Home', '1:4', '14', '0'), ('09.11.2020', '5', '15 th round', 'BRN', 'Monday', 'Away', '4:2', '12', '3'), ('13.11.2020', '6', '17 th round', 'PLZ', 'Friday', 'Away', '1:2sn', '12', '4'), ('15.11.2020', '7', '18 th round', 'KVA', 'Sunday', 'Home', '1:2', '12', '4'), ('17.11.2020', '8', '13 th round', 'ZLN', 'Tuesday', 'Home', '1:0', '11', '7'), ('20.11.2020', '9', '3rd round', 'LIB', 'Friday', 'Away', '2:1sn', '10', '9'), ('22.11.2020', '10', '7 th round', 'HRK', 'Sunday', 'Away', '1:4', '11', '9'), ('24.11.2020', '11', '6 th round', 'OLO', 'Tuesday', 'Home', '4:3sn', '11', '11'), ('27.11.2020', '12', '21 th round', 'PAR', 'Friday', 'Away', '1:2', '11', '11'), ('29.11.2020', '13', '22 th round', 'SPA', 'Sunday', 'Away', '3:2sn', '11', '13'), ('01.12.2020', '14', '23 th round', 'MBO', 'Tuesday', 'Home', '2:4', '12', '13'), ('04.12.2020', '15', '24 th round', 'TRI', 'Friday', 'Away', '2:4', '13', '13'), ('06.12.2020', '16', '25 th round', 'BUD', 'Sunday', 'Home', '3:2', '13', '16'), ('08.12.2020', '17', '14 th round', 'VIT', 'Tuesday', 'Home', '1:0pp', '10', '18'), ('12.12.2020', '18', '26 th round', 'ZLN', 'Saturday', 'Away', '2:0', '8', '21'), ('13.12.2020', '19', '27 th round', 'VIT', 'Sunday', 'Away', '2:6', '11', '21'), ('15.12.2020', '20', '8 th round', 'PAR', 'Tuesday', 'Home', '1:2sn', '11', '22'), ('21.12.2020', '21', '2nd round', 'BRN', 'Monday', 'Home', '6:7sn', '12', '23'), ('22.12.2020', '22', '28 th round', 'BRN', 'Tuesday', 'Home', '2:1pp', '10', '25'), ('26.12.2020', '23', '29 th round', 'LIB', 'Saturday', 'Away', '3:6', '11', '25'), ('28.12.2020', '24', '30 th round', 'PLZ', 'Monday', 'Home', '0:3', '12', '25'), ('30.12.2020', '25', '31 th round', 'KVA', 'Wednesday', 'Away', '3:2pp', '12', '27'), ('03.1.2021', '26', '32 th round', 'OLO', 'Sunday', 'Home', '2:1pp', '11', '29'), ('05.1.2021', '27', '5 th round', 'KVA', 'Tuesday', 'Away', '6:4', '10', '32'), ('08.1.2021', '28', '33 th round', ' HRK', 'Friday', 'Away', '1:3', '10', '32'), ('10.1.2021', '29', '34 th round', 'PAR', 'Sunday', 'Home', '5:0', '10', '35'), ('12.1.2021', '30', '12 th round', 'BUD', 'Tuesday', 'Away', '3:4', '10', '35'), ('15.1.2021', '31', '35 th round', 'SPA', 'Friday', 'Home', '3:5', '12', '35'), ('17.1.2021', '32', '36 th round', 'MBO', 'Sunday', 'Away', '3:2', '11', '38'), ('20.1.2021', '33', '37 th round', 'TRI', 'Wednesday', 'Home', '1:2', '12', '38'), ('22.1.2021', '34', '38 th round', 'BUD', 'Friday', 'Away', '4:3', '11', '41'), ('24.1.2021', '35', '39 th round', 'ZLN', 'Sunday', 'Home', '3:2', '10', '44'), ('26.1.2021', '36', '1st round', 'VIT', 'Tuesday', 'Home', '3:2', '10', '47'), ('29.1.2021', '37', '40 th round', 'VIT', 'Friday', 'Away', '2:3', '10', '47'), ('30.1.2021', '38', '41 th round', 'BRN', 'Saturday', 'Away', '4:3', '9', '50'), ('02.2.2021', '39', '42 th round', 'LIB', 'Tuesday', 'Home', '1:6', '10', '50'), ('05.2.2021', '40', '43 th round', 'PLZ', 'Friday', 'Away', '4:5', '10', '50'), ('07.2.2021', '41', '44 th round', 'KVA', 'Sunday', 'Home', '3:2pp', '10', '52'), ('09.2.2021', '42', '10 th round', 'MBO', 'Tuesday', 'Away', '2:3sn', '10', '53'), ('15.2.2021', '43', '16 th round', 'LIB', 'Monday', 'Home', '1:2pp', '10', '54'), ('17.2.2021', '44', '45 th round', 'OLO', 'Wednesday', 'Away', '3:4', '11', '54'), ('19.2.2021', '45', '46 th round', 'HRK', 'Friday', 'Home', '2:3', '11', '54'), ('21.2.2021', '46', '47 th round', 'PAR', 'Sunday', 'Away', '3:1', '11', '57'), ('23.2.2021', '47', '19 th round', 'OLO', 'Tuesday', 'Away', '2:1', '11', '60'), ('26.2.2021', '48', '48 th round', 'SPA', 'Friday', 'Away', '4:2', '11', '63'), ('28.2.2021', '49', '49 th round', 'MBO', 'Sunday', 'Home', '6:3', '11', '66'), ('04.3.2021', '50', '50 th round', 'TRI', 'Thursday', 'HomeAway', '3:2', '11', '69'), ('05.3.2021', '51', '51 th round', 'BUD', 'Friday', 'Home', '7:3', '11', '72'), ('07.3.2021', '52', '52 th round', 'Zín', 'Sunday', 'Away', '0:3', '11', '72'), ('10.3.2021', '53', 'Playoff 1st round 1 ', 'HRK', 'Wednesday', 'Away', '0:2', '', ''), ('11.3.2021', '54', 'Playoff 1st round 2', 'HRK', 'Thursday', 'Away', '1:3', '', ''), ('13.3.2021', '55', 'Playoff 1st round 3', 'HRK', 'Saturday', 'Home', '1:5', '', ''), ('10.9.2021', '1', '1st round', 'ZLN', 'Friday', 'Away', '4:2', '3', '3'), ('12.9.2021', '2', '2nd round', 'LIB', 'Sunday', 'Home', '3:2sn', '3', '5'), ('14.9.2021', '3', '3rd round', 'TRI', 'Tuesday', 'Away', '3:4pp', '3', '6'), ('19.9.2021', '4', '5 th round', 'KLA', 'Sunday', 'Away', '2:3', '9', '6'), ('21.9.2021', '5', '6 th round', 'PAR', 'Tuesday', 'Home', '4:7', '12', '6'), ('23.9.2021', '6', '7 th round', 'SPA', 'Thursday', 'Away', '4:6', '12', '6'), ('26.9.2021', '7', '8 th round', 'PLZ', 'Sunday', 'Home', '2:5', '14', '6'), ('28.9.2021', '8', '9 th round', 'MBO', 'Tuesday', 'Away', '2:3sn', '13', '7'), ('01.10.2021', '9', '10 th round', 'BRN', 'Friday', 'Home', '3:4', '13', '7'), ('03.10.2021', '10', '11 th round', 'BUD', 'Sunday', 'Away', '3:0', '12', '10'), ('08.10.2021', '11', '12 th round', 'VIT', 'Friday', 'Away', '4:1', '12', '13'), ('10.10.2021', '12', '13 th round', 'HRK', 'Sunday', 'Home', '3:4', '12', '13'), ('15.10.2021', '13', '14 th round', 'OLO', 'Friday', 'Away', '0:1', '12', '13'), ('17.10.2021', '14', '15 th round', 'KVA', 'Sunday', 'Home', '4:3', '11', '16'), ('22.10.2021', '15', '16 th round', 'ZLN', 'Friday', 'Home', '2:1', '11', '19'), ('24.10.2021', '16', '17 th round', 'LIB', 'Sunday', 'Away', '0:3', '13', '19'), ('26.10.2021', '17', '18 th round', 'TRI', 'Tuesday', 'Home', '2:5', '13', '19'), ('31.10.2021', '18', '20 th round', 'KLA', 'Sunday', 'Home', '4:3', '12', '22'), ('02.11.2021', '19', '21 th round', 'PAR', 'Tuesday', 'Away', '2:4', '12', '22'), ('04.11.2021', '20', '22 th round', 'SPA', 'Thursday', 'Home', '3:2', '12', '25'), ('07.11.2021', '21', '23 th round', 'PLZ', 'Sunday', 'Away', '4:3', '10', '28'), ('19.11.2021', '22', '24 th round', 'MBO', 'Friday', 'Home', '5:0', '9', '31'), ('21.11.2021', '23', '25 th round', 'BRN', 'Sunday', 'Away', '2:4', '10', '31'), ('26.11.2021', '24', '26 th round', 'BUD', 'Friday', 'Home', '3:2', '11', '34'), ('28.11.2021', '25', '27 th round', 'VIT', 'Sunday', 'Home', '3:4sn', '10', '35'), ('30.11.2021', '26', '28 th round', 'HRK', 'Tuesday', 'Away', '2:3', '11', '35'), ('03.12.2021', '27', '29 th round', 'OLO', 'Friday', 'Home', '3:4', '12', '35'), ('05.12.2021', '28', '30 th round', 'KVA', 'Sunday', 'Away', '3:2', '11', '38'), ('10.12.2021', '29', '31 th round', 'ZLN', 'Friday', 'Away', '1:4', '12', '38'), ('12.12.2021', '30', '32 th round', 'LIB', 'Sunday', 'Home', '2:0', '11', '41'), ('21.12.2021', '31', '33 th round', 'TRI', 'Tuesday', 'Away', '1:3', '12', '41'), ('26.12.2021', '32', '35 th round', 'KLA', 'Sunday', 'Away', '2:3pp', '12', '42'), ('28.12.2021', '33', '36 th round', 'PAR', 'Tuesday', 'Home', '1:5', '12', '42'), ('30.12.2021', '34', '47 th round', 'LIB', 'Thursday', 'Away', '3:2', '12', '45'), ('04.1.2022', '35', '38 th round', 'PLZ', 'Tuesday', 'Home', '4:3pp', '12', '47'), ('07.1.2022', '36', '39 th round', 'MBO', 'Friday', 'Away', '3:4', '12', '47'), ('09.1.2022', '37', '40 th round', 'BRN', 'Sunday', 'Home', '2:3pp', '12', '48'), ('16.1.2022', '38', '42 th round', 'VIT', 'Sunday', 'Away', '6:1', '12', '51'), ('25.1.2022', '39', '37 th round', 'SPA', 'Tuesday', 'Away', '1:3', '12', '51'), ('28.1.2022', '40', '46 th round', 'ZLN', 'Friday', 'Home', '3:4pp', '13', '52'), ('30.1.2022', '41', '50 th round', 'KLA', 'Sunday', 'Home', '2:5', '13', '52'), ('01.2.2022', '42', '48 th round', 'TRI', 'Tuesday', 'Home', '2:6', '13', '52'), ('03.2.2022', '43', '51 th round', 'PAR', 'Thursday', 'Away', '5:6pp', '13', '53'), ('06.2.2022', '44', '45 th round', 'KVA', 'Sunday', 'Home', '4:3pp', '13', '55'), ('08.2.2022', '45', '44 th round', 'OLO', 'Tuesday', 'Away', '1:4', '13', '55'), ('11.2.2022', '46', '41 th round', 'BUD', 'Friday', 'Home', '3:4', '13', '55'), ('13.2.2022', '47', '52 th round', 'SPA', 'Sunday', 'Home', '0:5', '13', '55'), ('18.2.2022', '48', '53 th round', 'PLZ', 'Friday', 'Away', '3:4pp', '13', '56'), ('20.2.2022', '49', '54 th round', 'MBO', 'Sunday', 'Home', '3:1', '13', '59'), ('22.2.2022', '50', '55 th round', 'BRN', 'Tuesday', 'Away', '5:1', '13', '62'), ('25.2.2022', '51', '56 th round', 'BUD', 'Friday', 'Away', '6:1', '13', '65'), ('27.2.2022', '52', '57 th round', 'VIT', 'Sunday', 'Home', '4:2', '12', '68'), ('01.3.2022', '53', '43 th round', 'HRK', 'Tuesday', 'Home', '3:2sn', '11', '70'), ('04.3.2022', '54', '58 th round', 'HRK', 'Friday', 'Away', '0:3', '12', '70'), ('06.3.2022', '55', '59 th round', 'OLO', 'Sunday', 'Home', '2:3', '12', '70'), ('08.3.2022', '56', '60 th round', 'KVA', 'Tuesday', 'Away', '1:3', '13', '70'), ('16.9.2022', '1', '1st round', 'VIT', 'Friday', 'Home', '2:3', '10', '0'), ('18.9.2022', '2', '2nd round', 'SPA', 'Sunday', 'Away', '0:3', '13', '0'), ('20.9.2022', '3', '4 th round', 'BUD', 'Tuesday', 'Away', '3:6', '14', '0'), ('23.9.2022', '4', '3rd round', 'LIB', 'Friday', 'Home', '2:3sn', '13', '1'), ('27.9.2022', '5', '5 th round', 'KLA', 'Tuesday', 'Home', '1:2pp', '14', '2'), ('02.10.2022', '6', '7 th round', 'HRK', 'Sunday', 'Home', '3:2', '14', '5'), ('04.10.2022', '7', '6 th round', 'KVA', 'Tuesday', 'Away', '4:1', '12', '8'), ('07.10.2022', '8', '8 th round', 'BRN', 'Friday', 'Away', '4:5', '13', '8'), ('09.10.2022', '9', '9 th round', 'TRI', 'Sunday', 'Away', '1:4', '14', '8'), ('14.10.2022', '10', '10 th round', 'MBO', 'Friday', 'Home', '3:4', '14', '8'), ('16.10.2022', '11', '11 th round', 'PLZ', 'Sunday', 'Away', '3:4', '14', '8'), ('18.10.2022', '12', '12 th round', 'PAR', 'Tuesday', 'Home', '0:1sn', '14', '9'), ('21.10.2022', '13', '13 th round', 'OLO', 'Friday', 'Away', '3:5', '14', '9'), ('23.10.2022', '14', '14 th round', 'VIT', 'Sunday', 'Away', '3:5', '14', '9'), ('28.10.2022', '15', '15 th round', 'SPA', 'Friday', 'Home', '4:0', '14', '12'), ('30.10.2022', '16', '16 th round', 'LIB', 'Sunday', 'Away', '3:2pp', '14', '14'), ('01.11.2022', '17', '17 th round', 'BUD', 'Tuesday', 'Home', '6:4', '13', '17'), ('04.11.2022', '18', '18 th round', 'KLA', 'Friday', 'Away', '2:3pp', '14', '18'), ('06.11.2022', '19', '19 th round', 'KVA', 'Sunday', 'Home', '5:3', '12', '21'), ('18.11.2022', '20', '20 th round', 'HRK', 'Friday', 'Away', '0:3', '13', '21'), ('20.11.2022', '21', '21 th round', 'BRN', 'Sunday', 'Home', '5:1', '11', '24'), ('25.11.2022', '22', '22 th round', 'TRI', 'Friday', 'Home', '1:2pp', '12', '25'), ('27.11.2022', '23', '23 th round', 'MBO', 'Sunday', 'Away', '4:6', '12', '25'), ('29.11.2022', '24', '24 th round', 'PLZ', 'Tuesday', 'Home', '2:4', '12', '25'), ('04.12.2022', '25', '26 th round', 'OLO', 'Sunday', 'Home', '5:3', '12', '28'), ('06.12.2022', '26', '25 th round', 'PAR', 'Tuesday', 'Away', '0:1', '12', '28'), ('09.12.2022', '27', '27 th round', 'VIT', 'Friday', 'Home', '5:3', '12', '31'), ('11.12.2022', '28', '28 th round', 'SPA', 'Sunday', 'Home', '5:2', '12', '34'), ('20.12.2022', '29', '29 th round', 'LIB', 'Tuesday', 'Home', '3:2sn', '11', '36'), ('22.12.2022', '30', '30 th round', 'BUD', 'Thursday', 'Away', '5:2', '11', '39'), ('26.12.2022', '31', '31 th round', 'KLA', 'Monday', 'Home', '2:3', '11', '39'), ('28.12.2022', '32', '32 th round', 'KVA', 'Wednesday', 'Away', '0:3', '11', '39'), ('30.12.2022', '33', '33 th round', 'HRK', 'Friday', 'Home', '2:3pp', '11', '40'), ('03.1.2023', '34', '34 th round', 'BRN', 'Tuesday', 'Away', '1:3', '12', '40'), ('06.1.2023', '35', '35 th round', 'TRI', 'Friday', 'Away', '2:3pp', '11', '41'), ('08.1.2023', '36', '36 th round', 'MBO', 'Sunday', 'Home', '4:3', '10', '44'), ('13.1.2023', '37', '37 th round', 'PLZ', 'Friday', 'Away', '1:4', '11', '44'), ('15.1.2023', '38', '38 th round', 'PAR', 'Sunday', 'Home', '1:2', '11', '44'), ('20.1.2023', '39', '39 th round', 'OLO', 'Friday', 'Away', '8:1', '10', '47'), ('22.1.2023', '40', '40 th round', 'VIT', 'Sunday', 'Away', '3:2sn', '11', '49'), ('25.1.2023', '41', '41 th round', 'SPA', 'Wednesday', 'Away', '2:3', '12', '49'), ('27.1.2023', '42', '42 th round', 'LIB', 'Friday', 'Away', '1:5', '13', '49'), ('29.1.2023', '43', '43 th round', 'BUD', 'Sunday', 'Home', '1:0sn', '12', '51'), ('03.2.2023', '44', '44 th round', 'KLA', 'Friday', 'Away', '2:5', '12', '51'), ('05.2.2023', '45', '45 th round', 'KVA', 'Sunday', 'Home', '1:2pp', '12', '52'), ('15.2.2023', '46', '46 th round', 'HRK', 'Wednesday', 'Away', '0:3', '12', '52'), ('17.2.2023', '47', '47 th round', 'BRN', 'Friday', 'Home', '3:2sn', '12', '54'), ('19.2.2023', '48', '48 th round', 'TRI', 'Sunday', 'Home', '4:3pp', '12', '56'), ('24.2.2023', '49', '49 th round', 'MBO', 'Friday', 'Away', '2:1', '12', '59'), ('26.2.2023', '50', '50 th round', 'PLZ', 'Sunday', 'Home', '2:1', '11', '62'), ('03.3.2023', '51', '51 th round', 'PAR', 'Friday', 'Away', '3:2sn', '12', '64'), ('05.3.2023', '52', '52 th round', 'OLO', 'Sunday', 'Home', '5:1', '11', '67'), ('08.3.2023', '53', 'Playoff 1st round ', 'TRI', 'Wednesday', 'Away', '1:3', '', ''), ('09.3.2023', '54', 'Playoff 1st round ', 'TRI', 'Thursday', 'Away', '4:5pp', '', ''), ('11.3.2023', '55', 'Playoff 1st round ', 'TRI', 'Saturday', 'Home', '2:4', '', ''), ('15.9.2023', '1', '1st round', 'PAR', 'Friday', 'Away', '1:5', '13', '0'), ('17.9.2023', '2', '2nd round', 'PLZ', 'Sunday', 'Home', '4:2', '10', '3'), ('22.9.2023', '3', '3rd round', 'BRN', 'Friday', 'Away', '3:2', '7', '6'), ('24.9.2023', '4', '4 th round', 'LIB', 'Sunday', 'Home', '4:1', '3', '9'), ('27.9.2023', '5', '5 th round', 'HRK', 'Wednesday', 'Away', '3:2sn', '3', '11'), ('29.9.2023', '6', '6 th round', 'MBO', 'Friday', 'Home', '5:2', '3', '14'), ('01.10.2023', '7', '7 th round', 'TRI', 'Sunday', 'Home', '6:4', '2', '17'), ('06.10.2023', '8', '8 th round', 'KVA', 'Friday', 'Away', '4:1', '2', '20'), ('08.10.2023', '9', '9 th round', 'BUD', 'Sunday', 'Home', '4:3', '2', '23'), ('13.10.2023', '10', '10 th round', 'SPA', 'Friday', 'Home', '4:2', '2', '26'), ('15.10.2023', '11', '11 th round', 'KLA', 'Sunday', 'Home', '5:4pp', '2', '28'), ('20.10.2023', '12', '12 th round', 'VIT', 'Friday', 'Home', '6:3', '2', '31'), ('22.10.2023', '13', '13 th round', 'OLO', 'Sunday', 'Away', '1:2', '2', '31'), ('27.10.2023', '14', '14 th round', 'PAR', 'Friday', 'Home', '4:1', '1', '34'), ('29.10.2023', '15', '15 th round', 'PLZ', 'Sunday', 'Away', '2:5', '2', '34'), ('31.10.2023', '16', '16 th round', 'BRN', 'Tuesday', 'Home', '6:3', '2', '37'), ('03.11.2023', '17', '17 th round', 'LIB', 'Friday', 'Away', '2:5', '2', '37'), ('05.11.2023', '18', '18 th round', 'HRK', 'Sunday', 'Home', '0:2', '2', '37'), ('17.11.2023', '19', '19 th round', 'MBO', 'Friday', 'Away', '0:5', '3', '37'), ('19.11.2023', '20', '20 th round', 'TRI', 'Sunday', 'Away', '3:2pp', '3', '39'), ('24.11.2023', '21', '21 th round', 'KVA', 'Friday', 'Home', '6:4', '3', '42'), ('26.11.2023', '22', '22 th round', 'BUD', 'Sunday', 'Away', '0:1', '4', '42'), ('28.11.2023', '23', '23 th round', 'SPA', 'Tuesday', 'Away', '1:3', '4', '42'), ('01.12.2023', '24', '24 th round', 'KLA', 'Friday', 'Away', '0:3', '4', '42'), ('03.12.2023', '25', '25 th round', 'VIT', 'Sunday', 'Away', '2:6', '4', '42'), ('08.12.2023', '26', '26 th round', 'OLO', 'Friday', 'Home', '1:2pp', '5', '43'), ('10.12.2023', '27', '27 th round', 'PAR', 'Sunday', 'Away', '4:2', '5', '46'), ('20.12.2023', '28', '28 th round', 'PLZ', 'Wednesday', 'Home', '2:3sn', '5', '47'), ('26.12.2023', '29', '30 th round', 'LIB', 'Tuesday', 'Home', '6:3', '4', '50'), ('28.12.2023', '30', '31 th round', 'HRK', 'Thursday', 'Away', '5:1', '4', '53'), ('30.12.2023', '31', '32 th round', 'MBO', 'Saturday', 'Home', '6:1', '4', '56'), ('03.1.2024', '32', '47 th round', 'KVA', 'Wednesday', 'Home', '1:6', '4', '56'), ('05.1.2024', '33', '33 th round', 'TRI', 'Friday', 'Home', '5:2', '4', '59'), ('07.1.2024', '34', '34 th round', 'KVA', 'Sunday', 'Away', '1:2pp', '4', '60'), ('12.1.2024', '35', '35 th round', 'BUD', 'Friday', 'Home', '4:3pp', '4', '62'), ('14.1.2024', '36', '36 th round', 'SPA', 'Sunday', 'Away', '3:6', '4', '62'), ('17.1.2024', '37', '29 th round', 'BRN', 'Wednesday', 'Away', '1:3', '4', '62'), ('19.1.2024', '38', '37 th round', 'KLA', 'Friday', 'Home', '4:3', '4', '65'), ('21.1.2024', '39', '38 th round', 'VIT', 'Sunday', 'Away', '1:5', '4', '65'), ('23.1.2024', '40', '39 th round', 'OLO', 'Tuesday', 'Home', '4:1', '4', '68'), ('26.1.2024', '41', '40 th round', 'PAR', 'Friday', 'Home', '1:3', '4', '68'), ('28.1.2024', '42', '41 th round', 'PLZ', 'Sunday', 'Away', '5:3', '4', '71'), ('02.2.2024', '43', '42 th round', 'BRN', 'Friday', 'Home', '2:3', '4', '71'), ('04.2.2024', '44', '43 th round', 'LIB', 'Sunday', 'Away', '2:6', '6', '71'), ('14.2.2024', '45', '44 th round', 'HRK', 'Wednesday', 'Home', '5:6pp', '6', '72'), ('16.2.2024', '46', '45 th round', 'MBO', 'Friday', 'Away', '3:2', '5', '75'), ('18.2.2024', '47', '46 th round', 'TRI', 'Sunday', 'Away', '2:5', '6', '75'), ('23.2.2024', '48', '48 th round', 'BUD', 'Friday', 'Away', '7:4', '4', '78'), ('25.2.2024', '49', '49 th round', 'SPA', 'Sunday', 'Home', '3:8', '5', '78'), ('27.2.2024', '50', '50 th round', 'KLA', 'Tuesday', 'Away', '0:2', '7', '78'), ('01.3.2024', '51', '51 th round', 'VIT', 'Friday', 'Home', '5:4', '6', '81'), ('03.3.2024', '52', '52 th round', 'OLO', 'Sunday', 'Away', '4:3sn', '5', '83'), ('06.3.2024', '53', 'Playoff 1st round  1', 'PLZ', 'Wednesday', 'Home', '4:2', '', ''), ('07.3.2024', '54', 'Playoff 1st round  2', 'PLZ', 'Thursday', 'Home', '4:1', '', ''), ('09.3.2024', '55', 'Playoff 1st round  3', 'PLZ', 'Saturday', 'Away', '2:1pp', '', ''), ('17.3.2024', '56', 'Quarter-finale  1', 'BRN', 'Sunday', 'Away', '2:1sn', '', ''), ('18.3.2024', '57', 'Quarter-finale  2', 'BRN', 'Monday', 'Away', '5:1', '', ''), ('21.3.2024', '58', 'Quarter-finale  3', 'BRN', 'Thursday', 'Home', '3:4', '', ''), ('22.3.2024', '59', 'Quarter-finale  4', 'BRN', 'Friday', 'Home', '1:5', '', ''), ('24.3.2024', '60', 'Quarter-finale  5', 'BRN', 'Sunday', 'Away', '2:1pp', '', ''), ('26.3.2024', '61</v>
      </c>
    </row>
    <row r="415" spans="1:23" x14ac:dyDescent="0.25">
      <c r="W415" t="s">
        <v>215</v>
      </c>
    </row>
  </sheetData>
  <autoFilter ref="A1:I412" xr:uid="{5B540B16-3FD1-4FBA-BB21-A3E88F4054EE}">
    <sortState xmlns:xlrd2="http://schemas.microsoft.com/office/spreadsheetml/2017/richdata2" ref="A2:I412">
      <sortCondition ref="A1:A412"/>
    </sortState>
  </autoFilter>
  <phoneticPr fontId="8" type="noConversion"/>
  <conditionalFormatting sqref="E2:E71">
    <cfRule type="cellIs" dxfId="69" priority="68" operator="equal">
      <formula>"ne"</formula>
    </cfRule>
    <cfRule type="cellIs" dxfId="68" priority="69" operator="equal">
      <formula>"pá"</formula>
    </cfRule>
  </conditionalFormatting>
  <conditionalFormatting sqref="F2:F71">
    <cfRule type="cellIs" dxfId="67" priority="70" operator="equal">
      <formula>"D"</formula>
    </cfRule>
  </conditionalFormatting>
  <conditionalFormatting sqref="E72:E129">
    <cfRule type="cellIs" dxfId="66" priority="64" operator="equal">
      <formula>"so"</formula>
    </cfRule>
  </conditionalFormatting>
  <conditionalFormatting sqref="E72:E129">
    <cfRule type="cellIs" dxfId="65" priority="65" operator="equal">
      <formula>"ne"</formula>
    </cfRule>
    <cfRule type="cellIs" dxfId="64" priority="66" operator="equal">
      <formula>"pá"</formula>
    </cfRule>
  </conditionalFormatting>
  <conditionalFormatting sqref="F72:F129">
    <cfRule type="cellIs" dxfId="63" priority="67" operator="equal">
      <formula>"D"</formula>
    </cfRule>
  </conditionalFormatting>
  <conditionalFormatting sqref="A181">
    <cfRule type="cellIs" dxfId="62" priority="59" operator="equal">
      <formula>"D"</formula>
    </cfRule>
  </conditionalFormatting>
  <conditionalFormatting sqref="E130:E181">
    <cfRule type="cellIs" dxfId="61" priority="60" operator="equal">
      <formula>"so"</formula>
    </cfRule>
  </conditionalFormatting>
  <conditionalFormatting sqref="E130:E181">
    <cfRule type="cellIs" dxfId="60" priority="61" operator="equal">
      <formula>"ne"</formula>
    </cfRule>
    <cfRule type="cellIs" dxfId="59" priority="62" operator="equal">
      <formula>"pá"</formula>
    </cfRule>
  </conditionalFormatting>
  <conditionalFormatting sqref="F130:F181">
    <cfRule type="cellIs" dxfId="58" priority="63" operator="equal">
      <formula>"D"</formula>
    </cfRule>
  </conditionalFormatting>
  <conditionalFormatting sqref="E182:E191">
    <cfRule type="cellIs" dxfId="57" priority="55" operator="equal">
      <formula>"so"</formula>
    </cfRule>
  </conditionalFormatting>
  <conditionalFormatting sqref="E182:E191">
    <cfRule type="cellIs" dxfId="56" priority="56" operator="equal">
      <formula>"ne"</formula>
    </cfRule>
    <cfRule type="cellIs" dxfId="55" priority="57" operator="equal">
      <formula>"pá"</formula>
    </cfRule>
  </conditionalFormatting>
  <conditionalFormatting sqref="E193:E194">
    <cfRule type="cellIs" dxfId="54" priority="51" operator="equal">
      <formula>"so"</formula>
    </cfRule>
    <cfRule type="cellIs" dxfId="53" priority="52" operator="equal">
      <formula>"ne"</formula>
    </cfRule>
    <cfRule type="cellIs" dxfId="52" priority="53" operator="equal">
      <formula>"pá"</formula>
    </cfRule>
  </conditionalFormatting>
  <conditionalFormatting sqref="E196:E207">
    <cfRule type="cellIs" dxfId="51" priority="48" operator="equal">
      <formula>"so"</formula>
    </cfRule>
    <cfRule type="cellIs" dxfId="50" priority="49" operator="equal">
      <formula>"ne"</formula>
    </cfRule>
    <cfRule type="cellIs" dxfId="49" priority="50" operator="equal">
      <formula>"pá"</formula>
    </cfRule>
  </conditionalFormatting>
  <conditionalFormatting sqref="E209:E236">
    <cfRule type="cellIs" dxfId="48" priority="45" operator="equal">
      <formula>"so"</formula>
    </cfRule>
    <cfRule type="cellIs" dxfId="47" priority="46" operator="equal">
      <formula>"ne"</formula>
    </cfRule>
    <cfRule type="cellIs" dxfId="46" priority="47" operator="equal">
      <formula>"pá"</formula>
    </cfRule>
  </conditionalFormatting>
  <conditionalFormatting sqref="F182:F189 F232:F236 A233:A236">
    <cfRule type="cellIs" dxfId="45" priority="58" operator="equal">
      <formula>"D"</formula>
    </cfRule>
  </conditionalFormatting>
  <conditionalFormatting sqref="F191:F230">
    <cfRule type="cellIs" dxfId="44" priority="54" operator="equal">
      <formula>"D"</formula>
    </cfRule>
  </conditionalFormatting>
  <conditionalFormatting sqref="A287:A288 A290:A292">
    <cfRule type="cellIs" dxfId="43" priority="44" operator="equal">
      <formula>"D"</formula>
    </cfRule>
  </conditionalFormatting>
  <conditionalFormatting sqref="E237:E249">
    <cfRule type="cellIs" dxfId="42" priority="38" operator="equal">
      <formula>"so"</formula>
    </cfRule>
  </conditionalFormatting>
  <conditionalFormatting sqref="E237:E249">
    <cfRule type="cellIs" dxfId="41" priority="39" operator="equal">
      <formula>"ne"</formula>
    </cfRule>
    <cfRule type="cellIs" dxfId="40" priority="40" operator="equal">
      <formula>"pá"</formula>
    </cfRule>
  </conditionalFormatting>
  <conditionalFormatting sqref="E251:E280">
    <cfRule type="cellIs" dxfId="39" priority="31" operator="equal">
      <formula>"so"</formula>
    </cfRule>
    <cfRule type="cellIs" dxfId="38" priority="32" operator="equal">
      <formula>"ne"</formula>
    </cfRule>
    <cfRule type="cellIs" dxfId="37" priority="33" operator="equal">
      <formula>"pá"</formula>
    </cfRule>
  </conditionalFormatting>
  <conditionalFormatting sqref="E282:E288">
    <cfRule type="cellIs" dxfId="36" priority="34" operator="equal">
      <formula>"so"</formula>
    </cfRule>
    <cfRule type="cellIs" dxfId="35" priority="35" operator="equal">
      <formula>"ne"</formula>
    </cfRule>
    <cfRule type="cellIs" dxfId="34" priority="36" operator="equal">
      <formula>"pá"</formula>
    </cfRule>
  </conditionalFormatting>
  <conditionalFormatting sqref="E290:E292">
    <cfRule type="cellIs" dxfId="33" priority="41" operator="equal">
      <formula>"so"</formula>
    </cfRule>
  </conditionalFormatting>
  <conditionalFormatting sqref="F237:F280">
    <cfRule type="cellIs" dxfId="32" priority="30" operator="equal">
      <formula>"D"</formula>
    </cfRule>
  </conditionalFormatting>
  <conditionalFormatting sqref="F282:F292">
    <cfRule type="cellIs" dxfId="31" priority="37" operator="equal">
      <formula>"D"</formula>
    </cfRule>
  </conditionalFormatting>
  <conditionalFormatting sqref="E290:E292">
    <cfRule type="cellIs" dxfId="30" priority="42" operator="equal">
      <formula>"ne"</formula>
    </cfRule>
    <cfRule type="cellIs" dxfId="29" priority="43" operator="equal">
      <formula>"pá"</formula>
    </cfRule>
  </conditionalFormatting>
  <conditionalFormatting sqref="A343:A344 A346:A347">
    <cfRule type="cellIs" dxfId="28" priority="29" operator="equal">
      <formula>"D"</formula>
    </cfRule>
  </conditionalFormatting>
  <conditionalFormatting sqref="E293:E305">
    <cfRule type="cellIs" dxfId="27" priority="23" operator="equal">
      <formula>"so"</formula>
    </cfRule>
  </conditionalFormatting>
  <conditionalFormatting sqref="E293:E305">
    <cfRule type="cellIs" dxfId="26" priority="24" operator="equal">
      <formula>"ne"</formula>
    </cfRule>
    <cfRule type="cellIs" dxfId="25" priority="25" operator="equal">
      <formula>"pá"</formula>
    </cfRule>
  </conditionalFormatting>
  <conditionalFormatting sqref="E307:E336">
    <cfRule type="cellIs" dxfId="24" priority="17" operator="equal">
      <formula>"so"</formula>
    </cfRule>
    <cfRule type="cellIs" dxfId="23" priority="18" operator="equal">
      <formula>"ne"</formula>
    </cfRule>
    <cfRule type="cellIs" dxfId="22" priority="19" operator="equal">
      <formula>"pá"</formula>
    </cfRule>
  </conditionalFormatting>
  <conditionalFormatting sqref="E338:E344">
    <cfRule type="cellIs" dxfId="21" priority="20" operator="equal">
      <formula>"so"</formula>
    </cfRule>
    <cfRule type="cellIs" dxfId="20" priority="21" operator="equal">
      <formula>"ne"</formula>
    </cfRule>
    <cfRule type="cellIs" dxfId="19" priority="22" operator="equal">
      <formula>"pá"</formula>
    </cfRule>
  </conditionalFormatting>
  <conditionalFormatting sqref="E346:E347">
    <cfRule type="cellIs" dxfId="18" priority="26" operator="equal">
      <formula>"so"</formula>
    </cfRule>
  </conditionalFormatting>
  <conditionalFormatting sqref="F293:F347">
    <cfRule type="cellIs" dxfId="17" priority="16" operator="equal">
      <formula>"D"</formula>
    </cfRule>
  </conditionalFormatting>
  <conditionalFormatting sqref="E346:E347">
    <cfRule type="cellIs" dxfId="16" priority="27" operator="equal">
      <formula>"ne"</formula>
    </cfRule>
    <cfRule type="cellIs" dxfId="15" priority="28" operator="equal">
      <formula>"pá"</formula>
    </cfRule>
  </conditionalFormatting>
  <conditionalFormatting sqref="A398:A399 A401:A403 A406:A408">
    <cfRule type="cellIs" dxfId="14" priority="15" operator="equal">
      <formula>"D"</formula>
    </cfRule>
  </conditionalFormatting>
  <conditionalFormatting sqref="E348:E360">
    <cfRule type="cellIs" dxfId="13" priority="2" operator="equal">
      <formula>"so"</formula>
    </cfRule>
  </conditionalFormatting>
  <conditionalFormatting sqref="E348:E360">
    <cfRule type="cellIs" dxfId="12" priority="3" operator="equal">
      <formula>"ne"</formula>
    </cfRule>
    <cfRule type="cellIs" dxfId="11" priority="4" operator="equal">
      <formula>"pá"</formula>
    </cfRule>
  </conditionalFormatting>
  <conditionalFormatting sqref="E362:E391">
    <cfRule type="cellIs" dxfId="10" priority="6" operator="equal">
      <formula>"so"</formula>
    </cfRule>
    <cfRule type="cellIs" dxfId="9" priority="7" operator="equal">
      <formula>"ne"</formula>
    </cfRule>
    <cfRule type="cellIs" dxfId="8" priority="8" operator="equal">
      <formula>"pá"</formula>
    </cfRule>
  </conditionalFormatting>
  <conditionalFormatting sqref="E393:E399">
    <cfRule type="cellIs" dxfId="7" priority="9" operator="equal">
      <formula>"so"</formula>
    </cfRule>
    <cfRule type="cellIs" dxfId="6" priority="10" operator="equal">
      <formula>"ne"</formula>
    </cfRule>
    <cfRule type="cellIs" dxfId="5" priority="11" operator="equal">
      <formula>"pá"</formula>
    </cfRule>
  </conditionalFormatting>
  <conditionalFormatting sqref="E401:E412">
    <cfRule type="cellIs" dxfId="4" priority="12" operator="equal">
      <formula>"so"</formula>
    </cfRule>
  </conditionalFormatting>
  <conditionalFormatting sqref="F348:F412">
    <cfRule type="cellIs" dxfId="3" priority="5" operator="equal">
      <formula>"D"</formula>
    </cfRule>
  </conditionalFormatting>
  <conditionalFormatting sqref="E401:E412">
    <cfRule type="cellIs" dxfId="2" priority="13" operator="equal">
      <formula>"ne"</formula>
    </cfRule>
    <cfRule type="cellIs" dxfId="1" priority="14" operator="equal">
      <formula>"pá"</formula>
    </cfRule>
  </conditionalFormatting>
  <conditionalFormatting sqref="A409">
    <cfRule type="cellIs" dxfId="0" priority="1" operator="equal">
      <formula>"D"</formula>
    </cfRule>
  </conditionalFormatting>
  <pageMargins left="0.7" right="0.7" top="0.78740157499999996" bottom="0.78740157499999996" header="0.3" footer="0.3"/>
  <pageSetup paperSize="9" orientation="portrait" horizontalDpi="3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1</vt:i4>
      </vt:variant>
    </vt:vector>
  </HeadingPairs>
  <TitlesOfParts>
    <vt:vector size="1" baseType="lpstr">
      <vt:lpstr>Results</vt:lpstr>
    </vt:vector>
  </TitlesOfParts>
  <Company>UNIPETROL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Lánský Jakub (UNP-RPA)</dc:creator>
  <cp:lastModifiedBy>Jakub Lánský</cp:lastModifiedBy>
  <cp:lastPrinted>2018-04-20T08:19:08Z</cp:lastPrinted>
  <dcterms:created xsi:type="dcterms:W3CDTF">2017-05-03T05:17:36Z</dcterms:created>
  <dcterms:modified xsi:type="dcterms:W3CDTF">2024-10-03T21:56:05Z</dcterms:modified>
</cp:coreProperties>
</file>